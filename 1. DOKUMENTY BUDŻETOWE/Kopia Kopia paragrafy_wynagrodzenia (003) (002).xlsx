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URO\2021\URBACT\Dokumenty Budżetowe\"/>
    </mc:Choice>
  </mc:AlternateContent>
  <bookViews>
    <workbookView xWindow="3510" yWindow="1005" windowWidth="17505" windowHeight="1459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D3" i="1" l="1"/>
  <c r="E3" i="1"/>
  <c r="F3" i="1"/>
  <c r="D17" i="1"/>
  <c r="D26" i="1" s="1"/>
  <c r="D18" i="1"/>
  <c r="D19" i="1"/>
  <c r="D20" i="1"/>
  <c r="D21" i="1"/>
  <c r="D22" i="1"/>
  <c r="D23" i="1"/>
  <c r="D24" i="1"/>
  <c r="D25" i="1"/>
  <c r="D16" i="1"/>
  <c r="I16" i="1"/>
  <c r="H14" i="1" l="1"/>
  <c r="I14" i="1"/>
  <c r="G15" i="1"/>
  <c r="H17" i="1"/>
  <c r="C26" i="1"/>
  <c r="C9" i="1" l="1"/>
  <c r="C10" i="1" l="1"/>
  <c r="C8" i="1"/>
  <c r="C6" i="1"/>
  <c r="C5" i="1"/>
  <c r="C7" i="1" l="1"/>
</calcChain>
</file>

<file path=xl/sharedStrings.xml><?xml version="1.0" encoding="utf-8"?>
<sst xmlns="http://schemas.openxmlformats.org/spreadsheetml/2006/main" count="15" uniqueCount="14">
  <si>
    <t>brutto pracownika</t>
  </si>
  <si>
    <t>brutto brutto</t>
  </si>
  <si>
    <t>usługi pozostałe:</t>
  </si>
  <si>
    <t>EUR</t>
  </si>
  <si>
    <t>PLN</t>
  </si>
  <si>
    <t>koszty adm.</t>
  </si>
  <si>
    <t>film</t>
  </si>
  <si>
    <t>SUMA</t>
  </si>
  <si>
    <t>WPM</t>
  </si>
  <si>
    <t>usługi pozostałe</t>
  </si>
  <si>
    <t>FP</t>
  </si>
  <si>
    <t>zajecia</t>
  </si>
  <si>
    <t>ubezp.społ</t>
  </si>
  <si>
    <t>Fundusz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</si>
</sst>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/>
    </xf>
    <xf numFmtId="2" fontId="0" fillId="2" borderId="0" xfId="0" applyNumberFormat="1" applyFill="1" applyAlignment="1">
      <alignment horizontal="center"/>
    </xf>
    <xf numFmtId="164" fontId="0" fillId="2" borderId="0" xfId="0" applyNumberFormat="1" applyFill="1"/>
    <xf numFmtId="164" fontId="0" fillId="3" borderId="0" xfId="0" applyNumberFormat="1" applyFill="1" applyAlignment="1">
      <alignment horizontal="center"/>
    </xf>
    <xf numFmtId="164" fontId="0" fillId="3" borderId="0" xfId="0" applyNumberFormat="1" applyFill="1"/>
    <xf numFmtId="164" fontId="0" fillId="4" borderId="0" xfId="0" applyNumberFormat="1" applyFill="1" applyAlignment="1">
      <alignment horizontal="center"/>
    </xf>
    <xf numFmtId="164" fontId="0" fillId="4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2"/>
  <sheetViews>
    <sheetView tabSelected="1" workbookViewId="0">
      <selection activeCell="D16" sqref="D16"/>
    </sheetView>
  </sheetViews>
  <sheetFormatPr defaultRowHeight="15" x14ac:dyDescent="0.25"/>
  <cols>
    <col min="1" max="1" width="4.28515625" customWidth="1"/>
    <col min="2" max="2" width="13.85546875" customWidth="1"/>
    <col min="3" max="3" width="16.140625" customWidth="1"/>
    <col min="4" max="4" width="16.85546875" customWidth="1"/>
    <col min="5" max="5" width="13.42578125" customWidth="1"/>
    <col min="7" max="7" width="12" customWidth="1"/>
    <col min="8" max="8" width="11.7109375" customWidth="1"/>
    <col min="9" max="9" width="10.7109375" customWidth="1"/>
  </cols>
  <sheetData>
    <row r="1" spans="2:15" x14ac:dyDescent="0.25">
      <c r="E1" t="s">
        <v>12</v>
      </c>
      <c r="F1" t="s">
        <v>13</v>
      </c>
    </row>
    <row r="2" spans="2:15" x14ac:dyDescent="0.25">
      <c r="C2" t="s">
        <v>1</v>
      </c>
      <c r="D2" s="2" t="s">
        <v>0</v>
      </c>
      <c r="E2" s="3">
        <v>0.1719</v>
      </c>
      <c r="F2" s="3">
        <v>2.4500000000000001E-2</v>
      </c>
      <c r="J2">
        <v>4.4664000000000001</v>
      </c>
      <c r="O2" s="1"/>
    </row>
    <row r="3" spans="2:15" x14ac:dyDescent="0.25">
      <c r="C3" s="4">
        <v>31264</v>
      </c>
      <c r="D3" s="8">
        <f>ROUND(26132.4,0)</f>
        <v>26132</v>
      </c>
      <c r="E3" s="10">
        <f>ROUND(4492.159,0)</f>
        <v>4492</v>
      </c>
      <c r="F3" s="12">
        <f>ROUND(640.2437,0)</f>
        <v>640</v>
      </c>
      <c r="J3" s="1"/>
    </row>
    <row r="4" spans="2:15" x14ac:dyDescent="0.25">
      <c r="C4" s="1"/>
    </row>
    <row r="5" spans="2:15" x14ac:dyDescent="0.25">
      <c r="B5">
        <v>4018</v>
      </c>
      <c r="C5" s="9">
        <f>ROUND(D3*0.9,0)</f>
        <v>23519</v>
      </c>
    </row>
    <row r="6" spans="2:15" x14ac:dyDescent="0.25">
      <c r="B6">
        <v>4019</v>
      </c>
      <c r="C6" s="9">
        <f>ROUND(D3*0.1,0)</f>
        <v>2613</v>
      </c>
      <c r="K6" s="1"/>
    </row>
    <row r="7" spans="2:15" x14ac:dyDescent="0.25">
      <c r="B7">
        <v>4118</v>
      </c>
      <c r="C7" s="11">
        <f>ROUND(E3*0.9,0)</f>
        <v>4043</v>
      </c>
    </row>
    <row r="8" spans="2:15" x14ac:dyDescent="0.25">
      <c r="B8">
        <v>4119</v>
      </c>
      <c r="C8" s="11">
        <f>ROUND(E3*0.1,0)</f>
        <v>449</v>
      </c>
      <c r="K8" s="1"/>
    </row>
    <row r="9" spans="2:15" x14ac:dyDescent="0.25">
      <c r="B9">
        <v>4128</v>
      </c>
      <c r="C9" s="13">
        <f>ROUND(F3*0.9,0)</f>
        <v>576</v>
      </c>
    </row>
    <row r="10" spans="2:15" x14ac:dyDescent="0.25">
      <c r="B10">
        <v>4179</v>
      </c>
      <c r="C10" s="13">
        <f>ROUND(F3*0.1,0)</f>
        <v>64</v>
      </c>
    </row>
    <row r="13" spans="2:15" x14ac:dyDescent="0.25">
      <c r="C13" t="s">
        <v>2</v>
      </c>
      <c r="D13" t="s">
        <v>8</v>
      </c>
      <c r="G13" t="s">
        <v>9</v>
      </c>
      <c r="I13" t="s">
        <v>10</v>
      </c>
    </row>
    <row r="14" spans="2:15" x14ac:dyDescent="0.25">
      <c r="C14" t="s">
        <v>3</v>
      </c>
      <c r="D14" t="s">
        <v>4</v>
      </c>
      <c r="H14" t="str">
        <f t="shared" ref="H14:I14" si="0">C14</f>
        <v>EUR</v>
      </c>
      <c r="I14" t="str">
        <f t="shared" si="0"/>
        <v>PLN</v>
      </c>
    </row>
    <row r="15" spans="2:15" x14ac:dyDescent="0.25">
      <c r="B15" t="s">
        <v>5</v>
      </c>
      <c r="C15" s="1"/>
      <c r="D15" s="1"/>
      <c r="F15" s="5"/>
      <c r="G15" s="5" t="str">
        <f t="shared" ref="G15" si="1">B15</f>
        <v>koszty adm.</v>
      </c>
      <c r="H15" s="6">
        <v>1211</v>
      </c>
      <c r="I15" s="7">
        <v>5408.53</v>
      </c>
    </row>
    <row r="16" spans="2:15" x14ac:dyDescent="0.25">
      <c r="B16" t="s">
        <v>6</v>
      </c>
      <c r="C16">
        <v>4000</v>
      </c>
      <c r="D16" s="1">
        <f>C16*$J$2</f>
        <v>17865.600000000002</v>
      </c>
      <c r="G16" t="s">
        <v>11</v>
      </c>
      <c r="H16" s="7">
        <v>5500</v>
      </c>
      <c r="I16" s="7">
        <f>H16*4.4664</f>
        <v>24565.200000000001</v>
      </c>
    </row>
    <row r="17" spans="2:9" x14ac:dyDescent="0.25">
      <c r="C17">
        <v>660</v>
      </c>
      <c r="D17" s="1">
        <f t="shared" ref="D17:D25" si="2">C17*$J$2</f>
        <v>2947.8240000000001</v>
      </c>
      <c r="G17" t="s">
        <v>7</v>
      </c>
      <c r="H17" s="1">
        <f>SUM(H15:H16)</f>
        <v>6711</v>
      </c>
      <c r="I17" s="1">
        <f>SUM(I15:I16)</f>
        <v>29973.73</v>
      </c>
    </row>
    <row r="18" spans="2:9" x14ac:dyDescent="0.25">
      <c r="C18">
        <v>60</v>
      </c>
      <c r="D18" s="1">
        <f t="shared" si="2"/>
        <v>267.98400000000004</v>
      </c>
      <c r="H18" s="7"/>
      <c r="I18" s="7"/>
    </row>
    <row r="19" spans="2:9" x14ac:dyDescent="0.25">
      <c r="C19">
        <v>1290</v>
      </c>
      <c r="D19" s="1">
        <f t="shared" si="2"/>
        <v>5761.6559999999999</v>
      </c>
      <c r="H19" s="7"/>
      <c r="I19" s="7"/>
    </row>
    <row r="20" spans="2:9" x14ac:dyDescent="0.25">
      <c r="C20">
        <v>230</v>
      </c>
      <c r="D20" s="1">
        <f t="shared" si="2"/>
        <v>1027.2719999999999</v>
      </c>
      <c r="H20" s="7"/>
      <c r="I20" s="7"/>
    </row>
    <row r="21" spans="2:9" x14ac:dyDescent="0.25">
      <c r="C21">
        <v>141</v>
      </c>
      <c r="D21" s="1">
        <f t="shared" si="2"/>
        <v>629.76240000000007</v>
      </c>
    </row>
    <row r="22" spans="2:9" x14ac:dyDescent="0.25">
      <c r="C22">
        <v>105</v>
      </c>
      <c r="D22" s="1">
        <f t="shared" si="2"/>
        <v>468.97200000000004</v>
      </c>
    </row>
    <row r="23" spans="2:9" x14ac:dyDescent="0.25">
      <c r="C23">
        <v>140</v>
      </c>
      <c r="D23" s="1">
        <f t="shared" si="2"/>
        <v>625.29600000000005</v>
      </c>
    </row>
    <row r="24" spans="2:9" x14ac:dyDescent="0.25">
      <c r="C24">
        <v>96</v>
      </c>
      <c r="D24" s="1">
        <f t="shared" si="2"/>
        <v>428.77440000000001</v>
      </c>
    </row>
    <row r="25" spans="2:9" x14ac:dyDescent="0.25">
      <c r="C25">
        <v>105</v>
      </c>
      <c r="D25" s="1">
        <f t="shared" si="2"/>
        <v>468.97200000000004</v>
      </c>
    </row>
    <row r="26" spans="2:9" x14ac:dyDescent="0.25">
      <c r="B26" t="s">
        <v>7</v>
      </c>
      <c r="C26" s="1">
        <f>SUM(C15:C25)</f>
        <v>6827</v>
      </c>
      <c r="D26" s="1">
        <f>SUM(D16:D25)</f>
        <v>30492.112800000003</v>
      </c>
    </row>
    <row r="30" spans="2:9" x14ac:dyDescent="0.25">
      <c r="G30" s="1"/>
    </row>
    <row r="32" spans="2:9" x14ac:dyDescent="0.25"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Kolber Natalia</dc:creator>
  <cp:lastModifiedBy>Jarosz Wojciech</cp:lastModifiedBy>
  <dcterms:created xsi:type="dcterms:W3CDTF">2020-08-31T09:02:40Z</dcterms:created>
  <dcterms:modified xsi:type="dcterms:W3CDTF">2021-06-25T09:25:24Z</dcterms:modified>
</cp:coreProperties>
</file>