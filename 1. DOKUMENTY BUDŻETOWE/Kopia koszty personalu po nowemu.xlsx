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IURO\2021\URBACT\Dokumenty Budżetowe\"/>
    </mc:Choice>
  </mc:AlternateContent>
  <bookViews>
    <workbookView xWindow="-120" yWindow="-120" windowWidth="29040" windowHeight="15840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6" i="1"/>
  <c r="C9" i="1"/>
  <c r="C10" i="1"/>
  <c r="E10" i="1"/>
  <c r="E11" i="1" s="1"/>
  <c r="E7" i="1"/>
  <c r="E8" i="1" s="1"/>
  <c r="E4" i="1"/>
  <c r="E5" i="1" s="1"/>
  <c r="C5" i="1" s="1"/>
  <c r="D10" i="1"/>
  <c r="D11" i="1" s="1"/>
  <c r="C11" i="1" s="1"/>
  <c r="D7" i="1"/>
  <c r="D8" i="1" s="1"/>
  <c r="C8" i="1" s="1"/>
  <c r="D4" i="1"/>
  <c r="D5" i="1" s="1"/>
  <c r="D12" i="1"/>
  <c r="E12" i="1"/>
  <c r="C12" i="1"/>
  <c r="C4" i="1" l="1"/>
  <c r="C7" i="1"/>
</calcChain>
</file>

<file path=xl/sharedStrings.xml><?xml version="1.0" encoding="utf-8"?>
<sst xmlns="http://schemas.openxmlformats.org/spreadsheetml/2006/main" count="6" uniqueCount="6">
  <si>
    <t xml:space="preserve">KATEGORIA BUDZETU </t>
  </si>
  <si>
    <t>LINIE BUDŻETOWE</t>
  </si>
  <si>
    <t>SUMA</t>
  </si>
  <si>
    <t xml:space="preserve">Koszty personelu </t>
  </si>
  <si>
    <t>Koszty personelu partnera projektu</t>
  </si>
  <si>
    <t>SUMA KOSZTÓW PERSONELU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</si>
</sst>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\ &quot;zł&quot;"/>
    <numFmt numFmtId="165" formatCode="#,##0.00\ _z_ł"/>
  </numFmts>
  <fonts count="5" x14ac:knownFonts="1">
    <font>
      <sz val="11"/>
      <color theme="1"/>
      <name val="Calibri"/>
      <family val="2"/>
      <charset val="238"/>
      <scheme val="minor"/>
    </font>
    <font>
      <b/>
      <sz val="8"/>
      <color theme="0"/>
      <name val="Verdana"/>
      <family val="2"/>
      <charset val="238"/>
    </font>
    <font>
      <b/>
      <sz val="11"/>
      <name val="Calibri"/>
      <family val="2"/>
      <charset val="238"/>
      <scheme val="minor"/>
    </font>
    <font>
      <sz val="8"/>
      <color rgb="FF333333"/>
      <name val="Verdana"/>
      <family val="2"/>
      <charset val="238"/>
    </font>
    <font>
      <b/>
      <sz val="8"/>
      <color rgb="FF333333"/>
      <name val="Verdana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DDDDDD"/>
        <bgColor rgb="FFDDDDDD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right" vertical="center" wrapText="1"/>
    </xf>
    <xf numFmtId="165" fontId="3" fillId="0" borderId="1" xfId="0" applyNumberFormat="1" applyFont="1" applyFill="1" applyBorder="1" applyAlignment="1">
      <alignment horizontal="right" vertical="center" wrapText="1"/>
    </xf>
    <xf numFmtId="165" fontId="3" fillId="0" borderId="2" xfId="0" applyNumberFormat="1" applyFont="1" applyFill="1" applyBorder="1" applyAlignment="1">
      <alignment horizontal="right" vertical="center" wrapText="1"/>
    </xf>
    <xf numFmtId="164" fontId="4" fillId="4" borderId="5" xfId="0" applyNumberFormat="1" applyFont="1" applyFill="1" applyBorder="1" applyAlignment="1">
      <alignment horizontal="right" vertical="center" wrapText="1"/>
    </xf>
    <xf numFmtId="165" fontId="4" fillId="4" borderId="5" xfId="0" applyNumberFormat="1" applyFont="1" applyFill="1" applyBorder="1" applyAlignment="1">
      <alignment horizontal="right" vertical="center" wrapText="1"/>
    </xf>
    <xf numFmtId="165" fontId="4" fillId="4" borderId="6" xfId="0" applyNumberFormat="1" applyFont="1" applyFill="1" applyBorder="1" applyAlignment="1">
      <alignment horizontal="righ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164" fontId="3" fillId="3" borderId="5" xfId="0" applyNumberFormat="1" applyFont="1" applyFill="1" applyBorder="1" applyAlignment="1">
      <alignment horizontal="right" vertical="center" wrapText="1"/>
    </xf>
    <xf numFmtId="165" fontId="3" fillId="0" borderId="5" xfId="0" applyNumberFormat="1" applyFont="1" applyFill="1" applyBorder="1" applyAlignment="1">
      <alignment horizontal="right" vertical="center" wrapText="1"/>
    </xf>
    <xf numFmtId="165" fontId="3" fillId="0" borderId="6" xfId="0" applyNumberFormat="1" applyFont="1" applyFill="1" applyBorder="1" applyAlignment="1">
      <alignment horizontal="right" vertical="center" wrapText="1"/>
    </xf>
    <xf numFmtId="0" fontId="3" fillId="5" borderId="5" xfId="0" applyFont="1" applyFill="1" applyBorder="1" applyAlignment="1">
      <alignment horizontal="left" vertical="center" wrapText="1"/>
    </xf>
    <xf numFmtId="164" fontId="3" fillId="5" borderId="5" xfId="0" applyNumberFormat="1" applyFont="1" applyFill="1" applyBorder="1" applyAlignment="1">
      <alignment horizontal="right" vertical="center" wrapText="1"/>
    </xf>
    <xf numFmtId="165" fontId="3" fillId="6" borderId="5" xfId="0" applyNumberFormat="1" applyFont="1" applyFill="1" applyBorder="1" applyAlignment="1">
      <alignment horizontal="right" vertical="center" wrapText="1"/>
    </xf>
    <xf numFmtId="165" fontId="3" fillId="6" borderId="6" xfId="0" applyNumberFormat="1" applyFont="1" applyFill="1" applyBorder="1" applyAlignment="1">
      <alignment horizontal="right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D15" sqref="D15"/>
    </sheetView>
  </sheetViews>
  <sheetFormatPr defaultRowHeight="15" x14ac:dyDescent="0.25"/>
  <cols>
    <col min="1" max="1" width="24.85546875" customWidth="1"/>
    <col min="2" max="2" width="55" customWidth="1"/>
    <col min="3" max="3" width="16.28515625" customWidth="1"/>
    <col min="4" max="4" width="13.28515625" customWidth="1"/>
    <col min="5" max="5" width="20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2">
        <v>2021</v>
      </c>
      <c r="E1" s="3">
        <v>2022</v>
      </c>
    </row>
    <row r="2" spans="1:5" x14ac:dyDescent="0.25">
      <c r="A2" s="20" t="s">
        <v>3</v>
      </c>
      <c r="B2" s="4" t="s">
        <v>4</v>
      </c>
      <c r="C2" s="5">
        <v>104367.76</v>
      </c>
      <c r="D2" s="6">
        <v>38451.279999999999</v>
      </c>
      <c r="E2" s="7">
        <v>65916.479999999996</v>
      </c>
    </row>
    <row r="3" spans="1:5" x14ac:dyDescent="0.25">
      <c r="A3" s="20"/>
      <c r="B3" s="16">
        <v>401</v>
      </c>
      <c r="C3" s="17">
        <f>D3+E3</f>
        <v>87234.84</v>
      </c>
      <c r="D3" s="18">
        <v>32139.15</v>
      </c>
      <c r="E3" s="19">
        <v>55095.69</v>
      </c>
    </row>
    <row r="4" spans="1:5" x14ac:dyDescent="0.25">
      <c r="A4" s="20"/>
      <c r="B4" s="12">
        <v>4017</v>
      </c>
      <c r="C4" s="13">
        <f>D4+E4</f>
        <v>74149.614000000001</v>
      </c>
      <c r="D4" s="14">
        <f>D3*85%</f>
        <v>27318.2775</v>
      </c>
      <c r="E4" s="15">
        <f>E3*85%</f>
        <v>46831.336499999998</v>
      </c>
    </row>
    <row r="5" spans="1:5" x14ac:dyDescent="0.25">
      <c r="A5" s="20"/>
      <c r="B5" s="12">
        <v>4019</v>
      </c>
      <c r="C5" s="13">
        <f t="shared" ref="C5:C11" si="0">D5+E5</f>
        <v>13085.226000000006</v>
      </c>
      <c r="D5" s="14">
        <f>D3-D4</f>
        <v>4820.8725000000013</v>
      </c>
      <c r="E5" s="15">
        <f>E3-E4</f>
        <v>8264.3535000000047</v>
      </c>
    </row>
    <row r="6" spans="1:5" x14ac:dyDescent="0.25">
      <c r="A6" s="20"/>
      <c r="B6" s="16">
        <v>411</v>
      </c>
      <c r="C6" s="17">
        <f t="shared" si="0"/>
        <v>14995.670000000002</v>
      </c>
      <c r="D6" s="18">
        <v>5524.72</v>
      </c>
      <c r="E6" s="19">
        <v>9470.9500000000007</v>
      </c>
    </row>
    <row r="7" spans="1:5" x14ac:dyDescent="0.25">
      <c r="A7" s="20"/>
      <c r="B7" s="12">
        <v>4117</v>
      </c>
      <c r="C7" s="13">
        <f t="shared" si="0"/>
        <v>12746.319500000001</v>
      </c>
      <c r="D7" s="14">
        <f>D6*85%</f>
        <v>4696.0119999999997</v>
      </c>
      <c r="E7" s="15">
        <f>E6*85%</f>
        <v>8050.3075000000008</v>
      </c>
    </row>
    <row r="8" spans="1:5" x14ac:dyDescent="0.25">
      <c r="A8" s="20"/>
      <c r="B8" s="12">
        <v>4119</v>
      </c>
      <c r="C8" s="13">
        <f t="shared" si="0"/>
        <v>2249.3505000000005</v>
      </c>
      <c r="D8" s="14">
        <f>D6-D7</f>
        <v>828.70800000000054</v>
      </c>
      <c r="E8" s="15">
        <f>E6-E7</f>
        <v>1420.6424999999999</v>
      </c>
    </row>
    <row r="9" spans="1:5" x14ac:dyDescent="0.25">
      <c r="A9" s="20"/>
      <c r="B9" s="16">
        <v>412</v>
      </c>
      <c r="C9" s="17">
        <f t="shared" si="0"/>
        <v>2137.25</v>
      </c>
      <c r="D9" s="18">
        <v>787.41</v>
      </c>
      <c r="E9" s="19">
        <v>1349.84</v>
      </c>
    </row>
    <row r="10" spans="1:5" x14ac:dyDescent="0.25">
      <c r="A10" s="20"/>
      <c r="B10" s="12">
        <v>4127</v>
      </c>
      <c r="C10" s="13">
        <f t="shared" si="0"/>
        <v>1816.6624999999999</v>
      </c>
      <c r="D10" s="14">
        <f>D9*85%</f>
        <v>669.29849999999999</v>
      </c>
      <c r="E10" s="15">
        <f>E9*85%</f>
        <v>1147.3639999999998</v>
      </c>
    </row>
    <row r="11" spans="1:5" x14ac:dyDescent="0.25">
      <c r="A11" s="20"/>
      <c r="B11" s="12">
        <v>4129</v>
      </c>
      <c r="C11" s="13">
        <f t="shared" si="0"/>
        <v>320.58750000000009</v>
      </c>
      <c r="D11" s="14">
        <f>D9-D10</f>
        <v>118.11149999999998</v>
      </c>
      <c r="E11" s="15">
        <f>E9-E10</f>
        <v>202.47600000000011</v>
      </c>
    </row>
    <row r="12" spans="1:5" x14ac:dyDescent="0.25">
      <c r="A12" s="21"/>
      <c r="B12" s="11" t="s">
        <v>5</v>
      </c>
      <c r="C12" s="8">
        <f>C2</f>
        <v>104367.76</v>
      </c>
      <c r="D12" s="9">
        <f>D2</f>
        <v>38451.279999999999</v>
      </c>
      <c r="E12" s="10">
        <f>E2</f>
        <v>65916.479999999996</v>
      </c>
    </row>
  </sheetData>
  <mergeCells count="1">
    <mergeCell ref="A2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Jarosz Wojciech</dc:creator>
  <cp:lastModifiedBy>Jarosz Wojciech</cp:lastModifiedBy>
  <dcterms:created xsi:type="dcterms:W3CDTF">2021-06-29T10:08:31Z</dcterms:created>
  <dcterms:modified xsi:type="dcterms:W3CDTF">2021-06-29T10:36:49Z</dcterms:modified>
</cp:coreProperties>
</file>