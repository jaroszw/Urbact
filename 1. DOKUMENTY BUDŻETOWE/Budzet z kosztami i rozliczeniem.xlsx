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6"/>
  <workbookPr autoCompressPictures="0"/>
  <mc:AlternateContent xmlns:mc="http://schemas.openxmlformats.org/markup-compatibility/2006">
    <mc:Choice Requires="x15">
      <x15ac:absPath xmlns:x15ac="http://schemas.microsoft.com/office/spreadsheetml/2010/11/ac" url="D:\BIURO\Urbact\1. DOKUMENTY BUDŻETOWE\"/>
    </mc:Choice>
  </mc:AlternateContent>
  <xr:revisionPtr revIDLastSave="0" documentId="13_ncr:1_{1C68A47E-D4CE-4105-A683-D0FFA8E17B41}" xr6:coauthVersionLast="36" xr6:coauthVersionMax="36" xr10:uidLastSave="{00000000-0000-0000-0000-000000000000}"/>
  <bookViews>
    <workbookView xWindow="0" yWindow="0" windowWidth="28800" windowHeight="12435" tabRatio="500" activeTab="4" xr2:uid="{00000000-000D-0000-FFFF-FFFF00000000}"/>
  </bookViews>
  <sheets>
    <sheet name="TOTAL BUDGET" sheetId="1" r:id="rId1"/>
    <sheet name="PP1" sheetId="3" r:id="rId2"/>
    <sheet name="Zbiorczy" sheetId="8" r:id="rId3"/>
    <sheet name="Budżet " sheetId="9" r:id="rId4"/>
    <sheet name="Arkusz1" sheetId="12" r:id="rId5"/>
    <sheet name="Koszty I etap" sheetId="10" r:id="rId6"/>
    <sheet name="Koszty II etap" sheetId="11" r:id="rId7"/>
  </sheets>
  <calcPr calcId="191029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30" i="9" l="1"/>
  <c r="M29" i="9"/>
  <c r="M17" i="9"/>
  <c r="M16" i="9"/>
  <c r="M15" i="9"/>
  <c r="M14" i="9"/>
  <c r="M13" i="9"/>
  <c r="M12" i="9"/>
  <c r="K11" i="9"/>
  <c r="K8" i="9"/>
  <c r="I33" i="9"/>
  <c r="I32" i="9"/>
  <c r="I23" i="9"/>
  <c r="I24" i="9"/>
  <c r="I25" i="9"/>
  <c r="I26" i="9"/>
  <c r="I35" i="9" s="1"/>
  <c r="I27" i="9"/>
  <c r="I22" i="9"/>
  <c r="I20" i="9"/>
  <c r="I19" i="9"/>
  <c r="I17" i="9"/>
  <c r="I16" i="9"/>
  <c r="I13" i="9"/>
  <c r="I12" i="9"/>
  <c r="I10" i="9"/>
  <c r="I9" i="9"/>
  <c r="I11" i="9" s="1"/>
  <c r="I7" i="9"/>
  <c r="I6" i="9"/>
  <c r="I5" i="9"/>
  <c r="I4" i="9"/>
  <c r="I3" i="9"/>
  <c r="I2" i="9"/>
  <c r="I28" i="9" l="1"/>
  <c r="I18" i="9"/>
  <c r="I34" i="9"/>
  <c r="I21" i="9"/>
  <c r="I8" i="9"/>
  <c r="I38" i="9" s="1"/>
  <c r="H28" i="9" l="1"/>
  <c r="H35" i="9"/>
  <c r="H34" i="9"/>
  <c r="H21" i="9"/>
  <c r="H18" i="9"/>
  <c r="H11" i="9"/>
  <c r="H8" i="9"/>
  <c r="H38" i="9" l="1"/>
  <c r="J18" i="9"/>
  <c r="K35" i="9"/>
  <c r="J35" i="9"/>
  <c r="G35" i="9"/>
  <c r="F35" i="9"/>
  <c r="E35" i="9"/>
  <c r="J28" i="9"/>
  <c r="G28" i="9"/>
  <c r="F28" i="9"/>
  <c r="E28" i="9"/>
  <c r="F21" i="9"/>
  <c r="E21" i="9"/>
  <c r="K34" i="9"/>
  <c r="J34" i="9"/>
  <c r="G34" i="9"/>
  <c r="F34" i="9"/>
  <c r="E34" i="9"/>
  <c r="K31" i="9"/>
  <c r="J21" i="9"/>
  <c r="G21" i="9"/>
  <c r="F34" i="8"/>
  <c r="G18" i="9"/>
  <c r="G11" i="9"/>
  <c r="G8" i="9"/>
  <c r="M8" i="9"/>
  <c r="K28" i="9"/>
  <c r="M11" i="9"/>
  <c r="K18" i="9"/>
  <c r="F18" i="9"/>
  <c r="E18" i="9"/>
  <c r="J11" i="9"/>
  <c r="G38" i="9" l="1"/>
  <c r="M31" i="9"/>
  <c r="K38" i="9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M19" i="9" l="1"/>
  <c r="M20" i="9"/>
  <c r="M22" i="9"/>
  <c r="M23" i="9"/>
  <c r="M24" i="9"/>
  <c r="M25" i="9"/>
  <c r="M26" i="9"/>
  <c r="M27" i="9"/>
  <c r="M32" i="9"/>
  <c r="M33" i="9"/>
  <c r="M34" i="9" l="1"/>
  <c r="M35" i="9"/>
  <c r="M28" i="9"/>
  <c r="M18" i="9"/>
  <c r="M38" i="9" l="1"/>
  <c r="J8" i="9"/>
  <c r="J3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Marion Cugnet</author>
  </authors>
  <commentList>
    <comment ref="B38" authorId="0" shapeId="0" xr:uid="{00000000-0006-0000-0000-000001000000}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Jarosz Wojciech</author>
  </authors>
  <commentList>
    <comment ref="D3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  <author>Jarosz Wojciech</author>
  </authors>
  <commentList>
    <comment ref="H10" authorId="0" shapeId="0" xr:uid="{228589D0-44FC-418A-9AB4-45CD922DE5FB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J10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K1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H13" authorId="0" shapeId="0" xr:uid="{E6DC5F01-2D82-471F-B692-F75DBB749FA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J1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K13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H14" authorId="0" shapeId="0" xr:uid="{25F7261F-6DB3-49B6-8616-C4D718F3A1E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J14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K14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 xr:uid="{DA125923-CF25-4E04-8227-6FA2710E2E6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J15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K15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H16" authorId="0" shapeId="0" xr:uid="{BBB6CD36-46BF-40B6-8F33-5D1F484C9261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J16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H17" authorId="0" shapeId="0" xr:uid="{C394F001-F221-45B5-943A-A6F1148D9723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K22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K23" authorId="0" shapeId="0" xr:uid="{00000000-0006-0000-0300-00000C000000}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J26" authorId="1" shapeId="0" xr:uid="{043903CE-C9DA-43E3-BE9D-1BAC45FC90BA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zwrot 2556
</t>
        </r>
      </text>
    </comment>
    <comment ref="K26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J27" authorId="1" shapeId="0" xr:uid="{03A60BB3-2E8C-49A5-B661-8061F168A21F}">
      <text>
        <r>
          <rPr>
            <b/>
            <sz val="9"/>
            <color indexed="81"/>
            <rFont val="Tahoma"/>
            <charset val="1"/>
          </rPr>
          <t>Jarosz Wojciech:</t>
        </r>
        <r>
          <rPr>
            <sz val="9"/>
            <color indexed="81"/>
            <rFont val="Tahoma"/>
            <charset val="1"/>
          </rPr>
          <t xml:space="preserve">
zwrot 451
</t>
        </r>
      </text>
    </comment>
    <comment ref="K27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</authors>
  <commentList>
    <comment ref="C14" authorId="0" shapeId="0" xr:uid="{707E1900-D4FF-4C09-B04E-16689F6298D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C17" authorId="0" shapeId="0" xr:uid="{BD1B76C0-67CC-4BF5-BE16-75C140A6FC7F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C18" authorId="0" shapeId="0" xr:uid="{D3DC71C5-7297-4402-BA37-BCBD5ED07629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C19" authorId="0" shapeId="0" xr:uid="{97AEAD4F-3516-4DA1-B39C-9F69E7021C36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C20" authorId="0" shapeId="0" xr:uid="{6D48FAF5-A1E3-4D65-84F0-2A48FF1005A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C21" authorId="0" shapeId="0" xr:uid="{6D490EC1-EAA5-452A-87C0-6A3896BFA6B5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</commentList>
</comments>
</file>

<file path=xl/sharedStrings.xml><?xml version="1.0" encoding="utf-8"?>
<sst xmlns="http://schemas.openxmlformats.org/spreadsheetml/2006/main" count="469" uniqueCount="237">
  <si>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</si>
  <si>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</si>
  <si>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</si>
  <si>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</si>
  <si>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</si>
  <si>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</si>
  <si>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</si>
  <si>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</si>
  <si>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</si>
  <si>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</si>
  <si>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</si>
  <si>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</si>
  <si>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</si>
  <si>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</si>
  <si>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</si>
  <si>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</si>
  <si>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</si>
  <si>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</si>
  <si>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</si>
  <si>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</si>
  <si>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</si>
  <si>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</si>
  <si>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</si>
  <si>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</si>
  <si>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</si>
  <si>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</si>
  <si>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</si>
  <si>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</si>
  <si>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</si>
  <si>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</si>
  <si>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</si>
  <si>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</si>
  <si>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</si>
  <si>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</si>
  <si>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</si>
  <si>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</si>
  <si>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</si>
  <si>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</si>
  <si>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</si>
  <si>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</si>
  <si>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</si>
  <si>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</si>
  <si>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</si>
  <si>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</si>
  <si>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</si>
  <si>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</si>
  <si>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</si>
  <si>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</si>
  <si>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</si>
  <si>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</si>
  <si>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</si>
  <si>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</si>
  <si>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</si>
  <si>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</si>
  <si>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</si>
  <si>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</si>
  <si>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</si>
  <si>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</si>
  <si>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</si>
  <si>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</si>
  <si>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</si>
  <si>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</si>
  <si>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</si>
  <si>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</si>
  <si>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</si>
  <si>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</si>
  <si>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</si>
  <si>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</si>
  <si>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</si>
  <si>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</si>
  <si>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</si>
  <si>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</si>
  <si>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</si>
  <si>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</si>
  <si>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</si>
  <si>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</si>
  <si>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</si>
  <si>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</si>
  <si>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</si>
  <si>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</si>
  <si>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</si>
  <si>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</si>
  <si>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</si>
  <si>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</si>
  <si>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</si>
  <si>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</si>
  <si>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</si>
  <si>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</si>
  <si>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</si>
  <si>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</si>
  <si>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</si>
  <si>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</si>
  <si>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</si>
  <si>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</si>
  <si>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</si>
  <si>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</si>
  <si>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</si>
  <si>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</si>
  <si>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</si>
  <si>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</si>
  <si>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</si>
  <si>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</si>
  <si>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</si>
  <si>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</si>
  <si>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</si>
  <si>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</si>
  <si>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</si>
  <si>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</si>
  <si>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</si>
  <si>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</si>
  <si>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</si>
  <si>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</si>
  <si>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</si>
  <si>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</si>
  <si>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</si>
  <si>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</si>
  <si>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</si>
  <si>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</si>
  <si>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</si>
  <si>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</si>
  <si>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</si>
  <si>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</si>
  <si>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</si>
  <si>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</si>
  <si>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</si>
  <si>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</si>
  <si>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</si>
  <si>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</si>
  <si>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</si>
  <si>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</si>
  <si>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</si>
  <si>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</si>
  <si>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</si>
  <si>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</si>
  <si>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</si>
  <si>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</si>
  <si>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</si>
  <si>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</si>
  <si>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</si>
  <si>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</si>
  <si>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</si>
  <si>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</si>
  <si>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</si>
  <si>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</si>
  <si>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</si>
  <si>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</si>
  <si>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</si>
  <si>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</si>
  <si>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</si>
  <si>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</si>
  <si>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</si>
  <si>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</si>
  <si>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</si>
  <si>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</si>
  <si>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</si>
  <si>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</si>
  <si>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</si>
  <si>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</si>
  <si>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</si>
  <si>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</si>
  <si>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</si>
  <si>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</si>
  <si>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</si>
  <si>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</si>
  <si>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</si>
  <si>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</si>
  <si>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</si>
  <si>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</si>
  <si>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</si>
  <si>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</si>
  <si>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</si>
  <si>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</si>
  <si>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</si>
  <si>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</si>
  <si>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</si>
  <si>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</si>
  <si>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</si>
  <si>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</si>
  <si>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</si>
  <si>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</si>
  <si>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</si>
  <si>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</si>
  <si>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</si>
  <si>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</si>
  <si>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</si>
  <si>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</si>
  <si>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</si>
  <si>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</si>
  <si>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</si>
  <si>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</si>
  <si>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</si>
  <si>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</si>
  <si>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</si>
  <si>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</si>
  <si>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</si>
  <si>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</si>
  <si>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</si>
  <si>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</si>
  <si>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</si>
  <si>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</si>
  <si>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</si>
  <si>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</si>
  <si>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</si>
  <si>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</si>
  <si>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</si>
  <si>
    <t>podsuma</t>
  </si>
  <si>
    <t>Wyrównanie</t>
  </si>
  <si>
    <t>Przesunięcie 05.2022</t>
  </si>
  <si>
    <t>Do realizacji 2022</t>
  </si>
  <si>
    <t>2022 na dzien 20.05.2022</t>
  </si>
  <si>
    <t>UE / 4439</t>
  </si>
  <si>
    <t>MunicipalityofRzeszow–RzeszowCityOffice</t>
  </si>
  <si>
    <t>Staffcosts</t>
  </si>
  <si>
    <t>ProjectPartnerStaffCosts</t>
  </si>
  <si>
    <t xml:space="preserve"> €  13,848.00 </t>
  </si>
  <si>
    <t>OfficeandAdministration</t>
  </si>
  <si>
    <t>ProjectPartnerOfficeandAdministration</t>
  </si>
  <si>
    <t xml:space="preserve"> €       415.44 </t>
  </si>
  <si>
    <t>TravelandAccommodation</t>
  </si>
  <si>
    <t>StaffTravelandAccommodation</t>
  </si>
  <si>
    <t xml:space="preserve"> €  17,600.00 </t>
  </si>
  <si>
    <t>ExternalExpertiseandServices</t>
  </si>
  <si>
    <t>ProjectPartnerExternalExpertiseProjectCoordination</t>
  </si>
  <si>
    <t xml:space="preserve">€  1,000.00 </t>
  </si>
  <si>
    <t xml:space="preserve"> €    2,000.00 </t>
  </si>
  <si>
    <t>ExpertiseMeetingOrganisation</t>
  </si>
  <si>
    <t xml:space="preserve">€  3,000.00 </t>
  </si>
  <si>
    <t xml:space="preserve"> €    5,000.00 </t>
  </si>
  <si>
    <t>ExpertiseCommunication</t>
  </si>
  <si>
    <t xml:space="preserve">€  2,100.00 </t>
  </si>
  <si>
    <t xml:space="preserve"> €    3,600.00 </t>
  </si>
  <si>
    <t>Expertandothernon-staffTravel</t>
  </si>
  <si>
    <t xml:space="preserve">€  1,200.00 </t>
  </si>
  <si>
    <t xml:space="preserve"> €    6,400.00 </t>
  </si>
  <si>
    <t>ExpertiseFirstLevelControl</t>
  </si>
  <si>
    <t xml:space="preserve"> €    1,000.00 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</si>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</sst>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61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theme="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b/>
      <sz val="9"/>
      <name val="Calibri"/>
      <family val="2"/>
      <charset val="238"/>
      <scheme val="minor"/>
    </font>
    <font>
      <sz val="9"/>
      <color theme="3"/>
      <name val="Calibri"/>
      <family val="2"/>
      <charset val="238"/>
      <scheme val="minor"/>
    </font>
    <font>
      <b/>
      <sz val="9"/>
      <color theme="3"/>
      <name val="Calibri"/>
      <family val="2"/>
      <charset val="238"/>
      <scheme val="minor"/>
    </font>
    <font>
      <sz val="9"/>
      <color rgb="FF000000"/>
      <name val="Calibri"/>
      <family val="2"/>
      <charset val="238"/>
    </font>
  </fonts>
  <fills count="35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8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39" fillId="0" borderId="0" xfId="0" applyFont="1" applyAlignment="1"/>
    <xf numFmtId="0" fontId="39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39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40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1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39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39" fillId="0" borderId="0" xfId="0" applyNumberFormat="1" applyFont="1" applyAlignment="1"/>
    <xf numFmtId="3" fontId="39" fillId="0" borderId="0" xfId="0" applyNumberFormat="1" applyFont="1" applyAlignment="1"/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4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0" fontId="46" fillId="32" borderId="19" xfId="0" applyFont="1" applyFill="1" applyBorder="1" applyAlignment="1">
      <alignment horizontal="center" vertical="center" wrapText="1"/>
    </xf>
    <xf numFmtId="0" fontId="46" fillId="32" borderId="19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left" vertical="center" wrapText="1"/>
    </xf>
    <xf numFmtId="1" fontId="45" fillId="0" borderId="19" xfId="0" applyNumberFormat="1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vertical="center" wrapText="1"/>
    </xf>
    <xf numFmtId="0" fontId="48" fillId="0" borderId="19" xfId="0" applyFont="1" applyBorder="1" applyAlignment="1">
      <alignment horizontal="center"/>
    </xf>
    <xf numFmtId="4" fontId="48" fillId="0" borderId="19" xfId="0" applyNumberFormat="1" applyFont="1" applyBorder="1" applyAlignment="1"/>
    <xf numFmtId="4" fontId="43" fillId="0" borderId="19" xfId="0" applyNumberFormat="1" applyFont="1" applyBorder="1" applyAlignment="1">
      <alignment vertical="center" wrapText="1"/>
    </xf>
    <xf numFmtId="4" fontId="45" fillId="0" borderId="19" xfId="0" applyNumberFormat="1" applyFont="1" applyFill="1" applyBorder="1" applyAlignment="1">
      <alignment vertical="center" wrapText="1"/>
    </xf>
    <xf numFmtId="4" fontId="45" fillId="0" borderId="19" xfId="0" applyNumberFormat="1" applyFont="1" applyFill="1" applyBorder="1" applyAlignment="1">
      <alignment horizontal="left" vertical="center" wrapText="1"/>
    </xf>
    <xf numFmtId="0" fontId="43" fillId="0" borderId="19" xfId="0" applyFont="1" applyBorder="1" applyAlignment="1">
      <alignment horizontal="center" vertical="center" wrapText="1"/>
    </xf>
    <xf numFmtId="0" fontId="45" fillId="34" borderId="19" xfId="0" applyFont="1" applyFill="1" applyBorder="1" applyAlignment="1">
      <alignment horizontal="center"/>
    </xf>
    <xf numFmtId="4" fontId="45" fillId="34" borderId="19" xfId="0" applyNumberFormat="1" applyFont="1" applyFill="1" applyBorder="1" applyAlignment="1"/>
    <xf numFmtId="0" fontId="45" fillId="34" borderId="19" xfId="0" applyFont="1" applyFill="1" applyBorder="1" applyAlignment="1">
      <alignment horizontal="center" vertical="center" wrapText="1"/>
    </xf>
    <xf numFmtId="0" fontId="45" fillId="0" borderId="19" xfId="0" applyNumberFormat="1" applyFont="1" applyFill="1" applyBorder="1" applyAlignment="1">
      <alignment horizontal="center" vertical="center" wrapText="1"/>
    </xf>
    <xf numFmtId="4" fontId="42" fillId="0" borderId="19" xfId="0" applyNumberFormat="1" applyFont="1" applyBorder="1" applyAlignment="1">
      <alignment vertical="center" wrapText="1"/>
    </xf>
    <xf numFmtId="4" fontId="42" fillId="0" borderId="19" xfId="0" applyNumberFormat="1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5" fillId="0" borderId="19" xfId="0" applyFont="1" applyFill="1" applyBorder="1" applyAlignment="1">
      <alignment vertical="center" wrapText="1"/>
    </xf>
    <xf numFmtId="4" fontId="49" fillId="0" borderId="19" xfId="0" applyNumberFormat="1" applyFont="1" applyBorder="1" applyAlignment="1">
      <alignment horizontal="right" vertical="center" wrapText="1"/>
    </xf>
    <xf numFmtId="0" fontId="43" fillId="0" borderId="19" xfId="0" applyFont="1" applyBorder="1" applyAlignment="1">
      <alignment horizontal="left" vertical="center" wrapText="1"/>
    </xf>
    <xf numFmtId="49" fontId="43" fillId="0" borderId="19" xfId="0" applyNumberFormat="1" applyFont="1" applyBorder="1" applyAlignment="1">
      <alignment horizontal="center" vertical="center" wrapText="1"/>
    </xf>
    <xf numFmtId="14" fontId="42" fillId="0" borderId="19" xfId="0" applyNumberFormat="1" applyFont="1" applyBorder="1" applyAlignment="1">
      <alignment horizontal="center" vertical="center" wrapText="1"/>
    </xf>
    <xf numFmtId="4" fontId="42" fillId="0" borderId="19" xfId="0" applyNumberFormat="1" applyFont="1" applyBorder="1" applyAlignment="1">
      <alignment horizontal="right" vertical="center" wrapText="1"/>
    </xf>
    <xf numFmtId="0" fontId="43" fillId="0" borderId="19" xfId="0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horizontal="right"/>
    </xf>
    <xf numFmtId="4" fontId="45" fillId="34" borderId="19" xfId="0" applyNumberFormat="1" applyFont="1" applyFill="1" applyBorder="1" applyAlignment="1">
      <alignment horizontal="right" vertical="center" wrapText="1"/>
    </xf>
    <xf numFmtId="0" fontId="45" fillId="0" borderId="19" xfId="0" applyFont="1" applyBorder="1" applyAlignment="1">
      <alignment horizontal="left" vertical="center" wrapText="1"/>
    </xf>
    <xf numFmtId="2" fontId="45" fillId="0" borderId="19" xfId="0" applyNumberFormat="1" applyFont="1" applyBorder="1" applyAlignment="1">
      <alignment horizontal="center" vertical="center" wrapText="1"/>
    </xf>
    <xf numFmtId="14" fontId="45" fillId="0" borderId="19" xfId="0" applyNumberFormat="1" applyFont="1" applyBorder="1" applyAlignment="1">
      <alignment horizontal="center" vertical="center" wrapText="1"/>
    </xf>
    <xf numFmtId="4" fontId="45" fillId="0" borderId="19" xfId="0" applyNumberFormat="1" applyFont="1" applyBorder="1" applyAlignment="1">
      <alignment horizontal="right" vertical="center" wrapText="1"/>
    </xf>
    <xf numFmtId="0" fontId="45" fillId="0" borderId="19" xfId="0" applyFont="1" applyFill="1" applyBorder="1" applyAlignment="1">
      <alignment horizontal="center" vertical="center" wrapText="1"/>
    </xf>
    <xf numFmtId="4" fontId="45" fillId="0" borderId="19" xfId="0" applyNumberFormat="1" applyFont="1" applyFill="1" applyBorder="1" applyAlignment="1">
      <alignment horizontal="right" vertical="center" wrapText="1"/>
    </xf>
    <xf numFmtId="0" fontId="45" fillId="34" borderId="19" xfId="0" applyFont="1" applyFill="1" applyBorder="1" applyAlignment="1">
      <alignment horizontal="left" vertical="center" wrapText="1"/>
    </xf>
    <xf numFmtId="0" fontId="42" fillId="0" borderId="19" xfId="0" applyNumberFormat="1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0" fontId="46" fillId="0" borderId="19" xfId="0" applyFont="1" applyBorder="1" applyAlignment="1">
      <alignment horizontal="right" vertical="center" wrapText="1"/>
    </xf>
    <xf numFmtId="0" fontId="50" fillId="0" borderId="19" xfId="0" applyFont="1" applyBorder="1" applyAlignment="1">
      <alignment horizontal="left" vertical="center" wrapText="1"/>
    </xf>
    <xf numFmtId="2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1" fontId="43" fillId="0" borderId="19" xfId="0" applyNumberFormat="1" applyFont="1" applyBorder="1" applyAlignment="1">
      <alignment horizontal="center" vertical="center" wrapText="1"/>
    </xf>
    <xf numFmtId="0" fontId="42" fillId="0" borderId="0" xfId="0" applyFont="1"/>
    <xf numFmtId="4" fontId="46" fillId="0" borderId="19" xfId="0" applyNumberFormat="1" applyFont="1" applyFill="1" applyBorder="1" applyAlignment="1">
      <alignment vertical="center" wrapText="1"/>
    </xf>
    <xf numFmtId="0" fontId="47" fillId="0" borderId="19" xfId="0" applyFont="1" applyFill="1" applyBorder="1" applyAlignment="1">
      <alignment vertical="center" wrapText="1"/>
    </xf>
    <xf numFmtId="0" fontId="42" fillId="0" borderId="19" xfId="0" applyFont="1" applyBorder="1"/>
    <xf numFmtId="4" fontId="42" fillId="0" borderId="19" xfId="0" applyNumberFormat="1" applyFont="1" applyBorder="1"/>
    <xf numFmtId="0" fontId="0" fillId="0" borderId="0" xfId="0"/>
    <xf numFmtId="0" fontId="52" fillId="14" borderId="19" xfId="0" applyFont="1" applyFill="1" applyBorder="1" applyAlignment="1">
      <alignment horizontal="center" vertical="center" wrapText="1"/>
    </xf>
    <xf numFmtId="168" fontId="52" fillId="14" borderId="19" xfId="0" applyNumberFormat="1" applyFont="1" applyFill="1" applyBorder="1" applyAlignment="1">
      <alignment horizontal="center" vertical="center" wrapText="1"/>
    </xf>
    <xf numFmtId="1" fontId="52" fillId="13" borderId="19" xfId="0" applyNumberFormat="1" applyFont="1" applyFill="1" applyBorder="1" applyAlignment="1">
      <alignment horizontal="center" vertical="center" wrapText="1"/>
    </xf>
    <xf numFmtId="0" fontId="51" fillId="31" borderId="19" xfId="0" applyFont="1" applyFill="1" applyBorder="1" applyAlignment="1">
      <alignment horizontal="center" vertical="center" wrapText="1"/>
    </xf>
    <xf numFmtId="168" fontId="51" fillId="31" borderId="19" xfId="0" applyNumberFormat="1" applyFont="1" applyFill="1" applyBorder="1" applyAlignment="1">
      <alignment horizontal="center" vertical="center" wrapText="1"/>
    </xf>
    <xf numFmtId="1" fontId="51" fillId="31" borderId="19" xfId="0" applyNumberFormat="1" applyFont="1" applyFill="1" applyBorder="1" applyAlignment="1">
      <alignment horizontal="center" vertical="center" wrapText="1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  <xf numFmtId="0" fontId="34" fillId="24" borderId="19" xfId="0" applyFont="1" applyFill="1" applyBorder="1" applyAlignment="1">
      <alignment horizontal="center" vertical="center"/>
    </xf>
    <xf numFmtId="0" fontId="39" fillId="0" borderId="0" xfId="0" applyFont="1" applyFill="1" applyAlignment="1"/>
    <xf numFmtId="169" fontId="39" fillId="0" borderId="0" xfId="0" applyNumberFormat="1" applyFont="1" applyFill="1" applyAlignment="1"/>
    <xf numFmtId="169" fontId="0" fillId="0" borderId="0" xfId="0" applyNumberFormat="1" applyFont="1" applyAlignment="1"/>
    <xf numFmtId="0" fontId="37" fillId="23" borderId="19" xfId="0" applyFont="1" applyFill="1" applyBorder="1" applyAlignment="1">
      <alignment horizontal="center" vertical="center" wrapText="1"/>
    </xf>
    <xf numFmtId="168" fontId="37" fillId="23" borderId="19" xfId="0" applyNumberFormat="1" applyFont="1" applyFill="1" applyBorder="1" applyAlignment="1">
      <alignment horizontal="center" vertical="center" wrapText="1"/>
    </xf>
    <xf numFmtId="169" fontId="37" fillId="23" borderId="19" xfId="0" applyNumberFormat="1" applyFont="1" applyFill="1" applyBorder="1" applyAlignment="1">
      <alignment horizontal="center" vertical="center" wrapText="1"/>
    </xf>
    <xf numFmtId="3" fontId="37" fillId="23" borderId="19" xfId="0" applyNumberFormat="1" applyFont="1" applyFill="1" applyBorder="1" applyAlignment="1">
      <alignment horizontal="center" vertical="center"/>
    </xf>
    <xf numFmtId="0" fontId="37" fillId="23" borderId="22" xfId="0" applyFont="1" applyFill="1" applyBorder="1" applyAlignment="1">
      <alignment horizontal="left" vertical="center"/>
    </xf>
    <xf numFmtId="0" fontId="37" fillId="23" borderId="22" xfId="0" applyFont="1" applyFill="1" applyBorder="1" applyAlignment="1">
      <alignment horizontal="left" vertical="center" wrapText="1"/>
    </xf>
    <xf numFmtId="0" fontId="36" fillId="22" borderId="19" xfId="0" applyFont="1" applyFill="1" applyBorder="1" applyAlignment="1">
      <alignment horizontal="center" vertical="center" wrapText="1"/>
    </xf>
    <xf numFmtId="168" fontId="36" fillId="22" borderId="19" xfId="0" applyNumberFormat="1" applyFont="1" applyFill="1" applyBorder="1" applyAlignment="1">
      <alignment horizontal="center" vertical="center" wrapText="1"/>
    </xf>
    <xf numFmtId="169" fontId="36" fillId="23" borderId="19" xfId="0" applyNumberFormat="1" applyFont="1" applyFill="1" applyBorder="1" applyAlignment="1">
      <alignment horizontal="center" vertical="center" wrapText="1"/>
    </xf>
    <xf numFmtId="0" fontId="39" fillId="23" borderId="19" xfId="0" applyFont="1" applyFill="1" applyBorder="1" applyAlignment="1">
      <alignment horizontal="center" vertical="center"/>
    </xf>
    <xf numFmtId="0" fontId="37" fillId="23" borderId="19" xfId="0" applyFont="1" applyFill="1" applyBorder="1" applyAlignment="1">
      <alignment horizontal="left" vertical="center"/>
    </xf>
    <xf numFmtId="0" fontId="37" fillId="22" borderId="25" xfId="0" applyFont="1" applyFill="1" applyBorder="1" applyAlignment="1">
      <alignment horizontal="left" vertical="center" wrapText="1"/>
    </xf>
    <xf numFmtId="0" fontId="37" fillId="22" borderId="22" xfId="0" applyFont="1" applyFill="1" applyBorder="1" applyAlignment="1">
      <alignment horizontal="left" vertical="center" wrapText="1"/>
    </xf>
    <xf numFmtId="0" fontId="37" fillId="22" borderId="19" xfId="0" applyFont="1" applyFill="1" applyBorder="1" applyAlignment="1">
      <alignment horizontal="center" vertical="center" wrapText="1"/>
    </xf>
    <xf numFmtId="168" fontId="24" fillId="23" borderId="19" xfId="0" applyNumberFormat="1" applyFont="1" applyFill="1" applyBorder="1" applyAlignment="1">
      <alignment horizontal="center" vertical="center" wrapText="1"/>
    </xf>
    <xf numFmtId="169" fontId="24" fillId="23" borderId="19" xfId="0" applyNumberFormat="1" applyFont="1" applyFill="1" applyBorder="1" applyAlignment="1">
      <alignment horizontal="center" vertical="center" wrapText="1"/>
    </xf>
    <xf numFmtId="3" fontId="24" fillId="23" borderId="19" xfId="0" applyNumberFormat="1" applyFont="1" applyFill="1" applyBorder="1" applyAlignment="1">
      <alignment horizontal="center" vertical="center"/>
    </xf>
    <xf numFmtId="0" fontId="37" fillId="23" borderId="26" xfId="0" applyFont="1" applyFill="1" applyBorder="1" applyAlignment="1">
      <alignment horizontal="left" vertical="center" wrapText="1"/>
    </xf>
    <xf numFmtId="0" fontId="36" fillId="22" borderId="23" xfId="0" applyFont="1" applyFill="1" applyBorder="1" applyAlignment="1">
      <alignment horizontal="left" vertical="center" wrapText="1"/>
    </xf>
    <xf numFmtId="0" fontId="39" fillId="23" borderId="19" xfId="0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 vertical="center"/>
    </xf>
    <xf numFmtId="169" fontId="34" fillId="11" borderId="19" xfId="0" applyNumberFormat="1" applyFont="1" applyFill="1" applyBorder="1" applyAlignment="1">
      <alignment horizontal="center" vertical="center"/>
    </xf>
    <xf numFmtId="3" fontId="34" fillId="11" borderId="19" xfId="0" applyNumberFormat="1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3" xfId="0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/>
    </xf>
    <xf numFmtId="0" fontId="27" fillId="11" borderId="16" xfId="0" applyFont="1" applyFill="1" applyBorder="1" applyAlignment="1"/>
    <xf numFmtId="0" fontId="25" fillId="5" borderId="12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37" fillId="5" borderId="19" xfId="0" applyFont="1" applyFill="1" applyBorder="1" applyAlignment="1">
      <alignment horizontal="left" vertical="center" wrapText="1"/>
    </xf>
    <xf numFmtId="0" fontId="40" fillId="30" borderId="21" xfId="0" applyFont="1" applyFill="1" applyBorder="1" applyAlignment="1">
      <alignment horizontal="center" vertical="center"/>
    </xf>
    <xf numFmtId="0" fontId="40" fillId="30" borderId="23" xfId="0" applyFont="1" applyFill="1" applyBorder="1" applyAlignment="1">
      <alignment horizontal="center" vertical="center"/>
    </xf>
    <xf numFmtId="0" fontId="40" fillId="11" borderId="21" xfId="0" applyFont="1" applyFill="1" applyBorder="1" applyAlignment="1">
      <alignment horizontal="center" vertical="center"/>
    </xf>
    <xf numFmtId="0" fontId="40" fillId="11" borderId="22" xfId="0" applyFont="1" applyFill="1" applyBorder="1" applyAlignment="1">
      <alignment horizontal="center" vertical="center"/>
    </xf>
    <xf numFmtId="0" fontId="40" fillId="11" borderId="23" xfId="0" applyFont="1" applyFill="1" applyBorder="1" applyAlignment="1">
      <alignment horizontal="center" vertical="center"/>
    </xf>
    <xf numFmtId="0" fontId="40" fillId="19" borderId="21" xfId="0" applyFont="1" applyFill="1" applyBorder="1" applyAlignment="1">
      <alignment horizontal="center" vertical="center"/>
    </xf>
    <xf numFmtId="0" fontId="40" fillId="19" borderId="22" xfId="0" applyFont="1" applyFill="1" applyBorder="1" applyAlignment="1">
      <alignment horizontal="center" vertical="center"/>
    </xf>
    <xf numFmtId="0" fontId="40" fillId="19" borderId="23" xfId="0" applyFont="1" applyFill="1" applyBorder="1" applyAlignment="1">
      <alignment horizontal="center" vertical="center"/>
    </xf>
    <xf numFmtId="0" fontId="40" fillId="24" borderId="21" xfId="0" applyFont="1" applyFill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0" fillId="24" borderId="23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25" borderId="22" xfId="0" applyFont="1" applyFill="1" applyBorder="1" applyAlignment="1">
      <alignment horizontal="center" vertical="center"/>
    </xf>
    <xf numFmtId="0" fontId="40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46" fillId="32" borderId="19" xfId="0" applyFont="1" applyFill="1" applyBorder="1" applyAlignment="1">
      <alignment horizontal="center" vertical="center" wrapText="1"/>
    </xf>
    <xf numFmtId="0" fontId="45" fillId="32" borderId="19" xfId="0" applyFont="1" applyFill="1" applyBorder="1" applyAlignment="1">
      <alignment horizontal="center" vertical="center" wrapText="1"/>
    </xf>
    <xf numFmtId="0" fontId="46" fillId="32" borderId="19" xfId="0" applyNumberFormat="1" applyFont="1" applyFill="1" applyBorder="1" applyAlignment="1">
      <alignment horizontal="center" vertical="center" wrapText="1"/>
    </xf>
    <xf numFmtId="0" fontId="47" fillId="33" borderId="27" xfId="0" applyFont="1" applyFill="1" applyBorder="1" applyAlignment="1">
      <alignment horizontal="left" vertical="center" wrapText="1"/>
    </xf>
    <xf numFmtId="0" fontId="47" fillId="33" borderId="28" xfId="0" applyFont="1" applyFill="1" applyBorder="1" applyAlignment="1">
      <alignment horizontal="left" vertical="center" wrapText="1"/>
    </xf>
    <xf numFmtId="0" fontId="47" fillId="33" borderId="24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9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4" fontId="46" fillId="34" borderId="19" xfId="0" applyNumberFormat="1" applyFont="1" applyFill="1" applyBorder="1" applyAlignment="1">
      <alignment horizontal="right" vertical="center" wrapText="1"/>
    </xf>
    <xf numFmtId="0" fontId="46" fillId="34" borderId="19" xfId="0" applyFont="1" applyFill="1" applyBorder="1" applyAlignment="1">
      <alignment horizontal="right" vertical="center" wrapText="1"/>
    </xf>
    <xf numFmtId="0" fontId="49" fillId="0" borderId="27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24" xfId="0" applyFont="1" applyBorder="1" applyAlignment="1">
      <alignment horizontal="center"/>
    </xf>
    <xf numFmtId="1" fontId="58" fillId="13" borderId="19" xfId="0" applyNumberFormat="1" applyFont="1" applyFill="1" applyBorder="1" applyAlignment="1">
      <alignment horizontal="center" vertical="center" wrapText="1"/>
    </xf>
    <xf numFmtId="1" fontId="59" fillId="31" borderId="19" xfId="0" applyNumberFormat="1" applyFont="1" applyFill="1" applyBorder="1" applyAlignment="1">
      <alignment horizontal="center" vertical="center" wrapText="1"/>
    </xf>
    <xf numFmtId="1" fontId="60" fillId="0" borderId="0" xfId="0" applyNumberFormat="1" applyFont="1" applyAlignment="1"/>
    <xf numFmtId="1" fontId="55" fillId="26" borderId="19" xfId="0" applyNumberFormat="1" applyFont="1" applyFill="1" applyBorder="1" applyAlignment="1">
      <alignment horizontal="center" vertical="center"/>
    </xf>
    <xf numFmtId="1" fontId="56" fillId="14" borderId="19" xfId="0" applyNumberFormat="1" applyFont="1" applyFill="1" applyBorder="1" applyAlignment="1">
      <alignment horizontal="center" vertical="center" wrapText="1"/>
    </xf>
    <xf numFmtId="1" fontId="56" fillId="13" borderId="19" xfId="0" applyNumberFormat="1" applyFont="1" applyFill="1" applyBorder="1" applyAlignment="1">
      <alignment horizontal="center" vertical="center"/>
    </xf>
    <xf numFmtId="1" fontId="55" fillId="11" borderId="19" xfId="0" applyNumberFormat="1" applyFont="1" applyFill="1" applyBorder="1" applyAlignment="1">
      <alignment horizontal="center" vertical="center"/>
    </xf>
    <xf numFmtId="1" fontId="55" fillId="19" borderId="19" xfId="0" applyNumberFormat="1" applyFont="1" applyFill="1" applyBorder="1" applyAlignment="1">
      <alignment horizontal="center" vertical="center"/>
    </xf>
    <xf numFmtId="1" fontId="55" fillId="24" borderId="19" xfId="0" applyNumberFormat="1" applyFont="1" applyFill="1" applyBorder="1" applyAlignment="1">
      <alignment horizontal="center" vertical="center"/>
    </xf>
    <xf numFmtId="1" fontId="44" fillId="13" borderId="19" xfId="0" applyNumberFormat="1" applyFont="1" applyFill="1" applyBorder="1" applyAlignment="1">
      <alignment horizontal="center" vertical="center"/>
    </xf>
    <xf numFmtId="1" fontId="44" fillId="23" borderId="19" xfId="0" applyNumberFormat="1" applyFont="1" applyFill="1" applyBorder="1" applyAlignment="1">
      <alignment horizontal="center" vertical="center"/>
    </xf>
    <xf numFmtId="1" fontId="56" fillId="23" borderId="19" xfId="0" applyNumberFormat="1" applyFont="1" applyFill="1" applyBorder="1" applyAlignment="1">
      <alignment horizontal="center" vertical="center"/>
    </xf>
    <xf numFmtId="1" fontId="57" fillId="13" borderId="19" xfId="0" applyNumberFormat="1" applyFont="1" applyFill="1" applyBorder="1" applyAlignment="1">
      <alignment horizontal="center" vertical="center"/>
    </xf>
    <xf numFmtId="1" fontId="57" fillId="23" borderId="19" xfId="0" applyNumberFormat="1" applyFont="1" applyFill="1" applyBorder="1" applyAlignment="1">
      <alignment horizontal="center" vertical="center"/>
    </xf>
    <xf numFmtId="1" fontId="44" fillId="13" borderId="19" xfId="0" applyNumberFormat="1" applyFont="1" applyFill="1" applyBorder="1" applyAlignment="1">
      <alignment horizontal="center"/>
    </xf>
    <xf numFmtId="1" fontId="44" fillId="23" borderId="19" xfId="0" applyNumberFormat="1" applyFont="1" applyFill="1" applyBorder="1" applyAlignment="1">
      <alignment horizontal="center"/>
    </xf>
    <xf numFmtId="1" fontId="55" fillId="25" borderId="19" xfId="0" applyNumberFormat="1" applyFont="1" applyFill="1" applyBorder="1" applyAlignment="1">
      <alignment horizontal="center"/>
    </xf>
    <xf numFmtId="0" fontId="0" fillId="0" borderId="0" xfId="0" applyNumberFormat="1" applyFont="1" applyAlignment="1"/>
    <xf numFmtId="2" fontId="32" fillId="0" borderId="0" xfId="0" applyNumberFormat="1" applyFont="1" applyAlignment="1"/>
    <xf numFmtId="1" fontId="0" fillId="0" borderId="0" xfId="0" applyNumberFormat="1" applyFont="1" applyAlignment="1"/>
    <xf numFmtId="2" fontId="0" fillId="0" borderId="0" xfId="0" applyNumberFormat="1" applyFont="1" applyAlignment="1"/>
    <xf numFmtId="0" fontId="32" fillId="0" borderId="0" xfId="0" applyFont="1" applyAlignment="1"/>
    <xf numFmtId="0" fontId="32" fillId="0" borderId="29" xfId="0" applyFont="1" applyBorder="1" applyAlignment="1">
      <alignment vertical="center"/>
    </xf>
    <xf numFmtId="0" fontId="32" fillId="0" borderId="30" xfId="0" applyFont="1" applyBorder="1" applyAlignment="1">
      <alignment vertical="center"/>
    </xf>
    <xf numFmtId="0" fontId="32" fillId="0" borderId="30" xfId="0" applyFont="1" applyBorder="1" applyAlignment="1">
      <alignment horizontal="right" vertical="center"/>
    </xf>
    <xf numFmtId="0" fontId="32" fillId="0" borderId="31" xfId="0" applyFont="1" applyBorder="1" applyAlignment="1">
      <alignment vertical="center"/>
    </xf>
    <xf numFmtId="0" fontId="32" fillId="0" borderId="32" xfId="0" applyFont="1" applyBorder="1" applyAlignment="1">
      <alignment vertical="center"/>
    </xf>
    <xf numFmtId="0" fontId="32" fillId="0" borderId="32" xfId="0" applyFont="1" applyBorder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1863A"/>
    <pageSetUpPr fitToPage="1"/>
  </sheetPr>
  <dimension ref="A1:Z1000"/>
  <sheetViews>
    <sheetView showGridLines="0" topLeftCell="A7" workbookViewId="0">
      <selection activeCell="C57" sqref="C57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71" t="s">
        <v>0</v>
      </c>
      <c r="C1" s="272"/>
      <c r="D1" s="272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73" t="s">
        <v>3</v>
      </c>
      <c r="D5" s="274"/>
      <c r="E5" s="27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76" t="s">
        <v>4</v>
      </c>
      <c r="C7" s="277"/>
      <c r="D7" s="277"/>
      <c r="E7" s="27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66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67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68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66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67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68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66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68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66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67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67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67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67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67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68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66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68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69" t="s">
        <v>30</v>
      </c>
      <c r="B28" s="270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66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67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68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66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67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68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66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68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66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67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67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67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67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67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68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66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68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69" t="s">
        <v>30</v>
      </c>
      <c r="B49" s="270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2B8C9"/>
    <pageSetUpPr fitToPage="1"/>
  </sheetPr>
  <dimension ref="A1:I1024"/>
  <sheetViews>
    <sheetView showGridLines="0" zoomScale="85" zoomScaleNormal="85" workbookViewId="0">
      <selection activeCell="E56" sqref="E56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66" t="s">
        <v>9</v>
      </c>
      <c r="B6" s="29" t="s">
        <v>10</v>
      </c>
      <c r="C6" s="32"/>
      <c r="F6" s="26"/>
      <c r="G6" s="30"/>
    </row>
    <row r="7" spans="1:9" x14ac:dyDescent="0.25">
      <c r="A7" s="267"/>
      <c r="B7" s="11" t="s">
        <v>11</v>
      </c>
      <c r="C7" s="33">
        <v>21926</v>
      </c>
      <c r="F7" s="26"/>
      <c r="G7" s="30"/>
    </row>
    <row r="8" spans="1:9" x14ac:dyDescent="0.25">
      <c r="A8" s="268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66" t="s">
        <v>13</v>
      </c>
      <c r="B9" s="29" t="s">
        <v>14</v>
      </c>
      <c r="C9" s="32"/>
      <c r="F9" s="26"/>
      <c r="G9" s="30"/>
    </row>
    <row r="10" spans="1:9" ht="21" x14ac:dyDescent="0.25">
      <c r="A10" s="267"/>
      <c r="B10" s="11" t="s">
        <v>15</v>
      </c>
      <c r="C10" s="33">
        <f>C7*3%</f>
        <v>657.78</v>
      </c>
      <c r="F10" s="26"/>
      <c r="G10" s="30"/>
    </row>
    <row r="11" spans="1:9" x14ac:dyDescent="0.25">
      <c r="A11" s="268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66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68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66" t="s">
        <v>20</v>
      </c>
      <c r="B14" s="29" t="s">
        <v>21</v>
      </c>
      <c r="C14" s="32"/>
      <c r="F14" s="26"/>
      <c r="G14" s="30"/>
    </row>
    <row r="15" spans="1:9" ht="21" x14ac:dyDescent="0.25">
      <c r="A15" s="267"/>
      <c r="B15" s="11" t="s">
        <v>22</v>
      </c>
      <c r="C15" s="33">
        <v>3000</v>
      </c>
      <c r="F15" s="26"/>
      <c r="G15" s="30"/>
    </row>
    <row r="16" spans="1:9" x14ac:dyDescent="0.25">
      <c r="A16" s="267"/>
      <c r="B16" s="11" t="s">
        <v>23</v>
      </c>
      <c r="C16" s="33">
        <v>8000</v>
      </c>
      <c r="F16" s="26"/>
      <c r="G16" s="30"/>
    </row>
    <row r="17" spans="1:7" x14ac:dyDescent="0.25">
      <c r="A17" s="267"/>
      <c r="B17" s="11" t="s">
        <v>24</v>
      </c>
      <c r="C17" s="33">
        <v>5700</v>
      </c>
      <c r="F17" s="26"/>
      <c r="G17" s="30"/>
    </row>
    <row r="18" spans="1:7" x14ac:dyDescent="0.25">
      <c r="A18" s="267"/>
      <c r="B18" s="11" t="s">
        <v>25</v>
      </c>
      <c r="C18" s="33">
        <v>7600</v>
      </c>
      <c r="F18" s="26"/>
      <c r="G18" s="30"/>
    </row>
    <row r="19" spans="1:7" x14ac:dyDescent="0.25">
      <c r="A19" s="267"/>
      <c r="B19" s="11" t="s">
        <v>26</v>
      </c>
      <c r="C19" s="33">
        <v>2000</v>
      </c>
      <c r="F19" s="26"/>
      <c r="G19" s="30"/>
    </row>
    <row r="20" spans="1:7" ht="21" x14ac:dyDescent="0.25">
      <c r="A20" s="268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66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68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69" t="s">
        <v>30</v>
      </c>
      <c r="B23" s="270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66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67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68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66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67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68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66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68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66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67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67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67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67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67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68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66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68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69" t="s">
        <v>30</v>
      </c>
      <c r="B44" s="270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81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82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81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82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83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84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81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85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85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85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85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82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83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84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79" t="s">
        <v>44</v>
      </c>
      <c r="B63" s="280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85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85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85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85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85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85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85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85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85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85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85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82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85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85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82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83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87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87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87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82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85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85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85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85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85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85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85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85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85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85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85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85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82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83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82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79" t="s">
        <v>44</v>
      </c>
      <c r="B106" s="286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106:B106"/>
    <mergeCell ref="A68:A79"/>
    <mergeCell ref="A83:A85"/>
    <mergeCell ref="A86:A90"/>
    <mergeCell ref="A91:A103"/>
    <mergeCell ref="A104:A105"/>
    <mergeCell ref="A63:B63"/>
    <mergeCell ref="A49:A50"/>
    <mergeCell ref="A51:A52"/>
    <mergeCell ref="A53:A54"/>
    <mergeCell ref="A55:A60"/>
    <mergeCell ref="A61:A62"/>
    <mergeCell ref="A23:B23"/>
    <mergeCell ref="A27:A29"/>
    <mergeCell ref="A6:A8"/>
    <mergeCell ref="A9:A11"/>
    <mergeCell ref="A12:A13"/>
    <mergeCell ref="A14:A20"/>
    <mergeCell ref="A21:A22"/>
    <mergeCell ref="A30:A32"/>
    <mergeCell ref="A33:A34"/>
    <mergeCell ref="A35:A41"/>
    <mergeCell ref="A42:A43"/>
    <mergeCell ref="A44:B44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G41"/>
  <sheetViews>
    <sheetView zoomScale="85" zoomScaleNormal="85" workbookViewId="0">
      <selection activeCell="D29" sqref="D29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85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85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85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85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85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85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85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85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85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85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85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82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85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85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82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83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87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87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87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82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85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85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85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85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85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85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85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85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85"/>
      <c r="B34" s="50">
        <v>4309</v>
      </c>
      <c r="C34" s="69">
        <v>15208</v>
      </c>
      <c r="D34" s="92">
        <v>4498</v>
      </c>
      <c r="E34" s="74">
        <v>10710</v>
      </c>
      <c r="F34" s="242">
        <f>SUM(E33:E34)</f>
        <v>71400</v>
      </c>
      <c r="G34" s="26"/>
    </row>
    <row r="35" spans="1:7" x14ac:dyDescent="0.25">
      <c r="A35" s="285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85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85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82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83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82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79" t="s">
        <v>44</v>
      </c>
      <c r="B41" s="286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zoomScale="85" zoomScaleNormal="85" workbookViewId="0">
      <selection activeCell="H19" sqref="H19:H34"/>
    </sheetView>
  </sheetViews>
  <sheetFormatPr defaultRowHeight="15" x14ac:dyDescent="0.25"/>
  <cols>
    <col min="1" max="1" width="9.140625" style="128"/>
    <col min="2" max="2" width="38.140625" style="118" customWidth="1"/>
    <col min="3" max="3" width="33.710937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20.140625" style="120" bestFit="1" customWidth="1"/>
    <col min="8" max="8" width="19.140625" style="120" bestFit="1" customWidth="1"/>
    <col min="9" max="9" width="19.140625" style="120" customWidth="1"/>
    <col min="10" max="10" width="19.140625" style="120" bestFit="1" customWidth="1"/>
    <col min="11" max="11" width="19.28515625" style="120" customWidth="1"/>
    <col min="12" max="12" width="19.140625" style="120" customWidth="1"/>
    <col min="13" max="13" width="17.28515625" style="117" bestFit="1" customWidth="1"/>
    <col min="14" max="14" width="13" style="117" customWidth="1"/>
    <col min="15" max="16384" width="9.140625" style="117"/>
  </cols>
  <sheetData>
    <row r="1" spans="1:16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2">
        <v>2022</v>
      </c>
      <c r="H1" s="162" t="s">
        <v>130</v>
      </c>
      <c r="I1" s="162" t="s">
        <v>208</v>
      </c>
      <c r="J1" s="162" t="s">
        <v>206</v>
      </c>
      <c r="K1" s="141" t="s">
        <v>209</v>
      </c>
      <c r="L1" s="162" t="s">
        <v>207</v>
      </c>
      <c r="M1" s="141" t="s">
        <v>148</v>
      </c>
    </row>
    <row r="2" spans="1:16" ht="15" customHeight="1" x14ac:dyDescent="0.25">
      <c r="A2" s="304" t="s">
        <v>129</v>
      </c>
      <c r="B2" s="292" t="s">
        <v>142</v>
      </c>
      <c r="C2" s="292" t="s">
        <v>46</v>
      </c>
      <c r="D2" s="171" t="s">
        <v>149</v>
      </c>
      <c r="E2" s="172">
        <v>74149.614000000001</v>
      </c>
      <c r="F2" s="172">
        <v>27318.149999999998</v>
      </c>
      <c r="G2" s="172">
        <v>46832</v>
      </c>
      <c r="H2" s="172">
        <v>2662</v>
      </c>
      <c r="I2" s="172">
        <f t="shared" ref="I2:I7" si="0">H2+G2</f>
        <v>49494</v>
      </c>
      <c r="J2" s="172"/>
      <c r="K2" s="172">
        <v>29496</v>
      </c>
      <c r="L2" s="172"/>
      <c r="M2" s="172">
        <v>29496</v>
      </c>
    </row>
    <row r="3" spans="1:16" ht="15" customHeight="1" x14ac:dyDescent="0.25">
      <c r="A3" s="305"/>
      <c r="B3" s="293"/>
      <c r="C3" s="293"/>
      <c r="D3" s="171" t="s">
        <v>150</v>
      </c>
      <c r="E3" s="172">
        <v>13086</v>
      </c>
      <c r="F3" s="172">
        <v>4820.8499999999995</v>
      </c>
      <c r="G3" s="172">
        <v>8265</v>
      </c>
      <c r="H3" s="172">
        <v>470</v>
      </c>
      <c r="I3" s="172">
        <f t="shared" si="0"/>
        <v>8735</v>
      </c>
      <c r="J3" s="172"/>
      <c r="K3" s="172">
        <v>5206</v>
      </c>
      <c r="L3" s="172"/>
      <c r="M3" s="172">
        <v>5206</v>
      </c>
    </row>
    <row r="4" spans="1:16" ht="15" customHeight="1" x14ac:dyDescent="0.25">
      <c r="A4" s="305"/>
      <c r="B4" s="292" t="s">
        <v>143</v>
      </c>
      <c r="C4" s="292" t="s">
        <v>46</v>
      </c>
      <c r="D4" s="171" t="s">
        <v>151</v>
      </c>
      <c r="E4" s="172">
        <v>12746.3195</v>
      </c>
      <c r="F4" s="172">
        <v>4696.25</v>
      </c>
      <c r="G4" s="172">
        <v>8050</v>
      </c>
      <c r="H4" s="172">
        <v>501</v>
      </c>
      <c r="I4" s="172">
        <f t="shared" si="0"/>
        <v>8551</v>
      </c>
      <c r="J4" s="172"/>
      <c r="K4" s="172">
        <v>5197</v>
      </c>
      <c r="L4" s="172"/>
      <c r="M4" s="172">
        <v>5197</v>
      </c>
    </row>
    <row r="5" spans="1:16" ht="15" customHeight="1" x14ac:dyDescent="0.25">
      <c r="A5" s="305"/>
      <c r="B5" s="293"/>
      <c r="C5" s="293"/>
      <c r="D5" s="171" t="s">
        <v>152</v>
      </c>
      <c r="E5" s="172">
        <v>2249.3505</v>
      </c>
      <c r="F5" s="172">
        <v>828.75</v>
      </c>
      <c r="G5" s="172">
        <v>1421</v>
      </c>
      <c r="H5" s="172">
        <v>89</v>
      </c>
      <c r="I5" s="172">
        <f t="shared" si="0"/>
        <v>1510</v>
      </c>
      <c r="J5" s="172"/>
      <c r="K5" s="172">
        <v>918</v>
      </c>
      <c r="L5" s="172"/>
      <c r="M5" s="172">
        <v>918</v>
      </c>
    </row>
    <row r="6" spans="1:16" ht="15" customHeight="1" x14ac:dyDescent="0.25">
      <c r="A6" s="305"/>
      <c r="B6" s="292" t="s">
        <v>144</v>
      </c>
      <c r="C6" s="292" t="s">
        <v>46</v>
      </c>
      <c r="D6" s="171" t="s">
        <v>153</v>
      </c>
      <c r="E6" s="172">
        <v>1816.6624999999999</v>
      </c>
      <c r="F6" s="172">
        <v>668.94999999999993</v>
      </c>
      <c r="G6" s="172">
        <v>1147</v>
      </c>
      <c r="H6" s="172">
        <v>71</v>
      </c>
      <c r="I6" s="172">
        <f t="shared" si="0"/>
        <v>1218</v>
      </c>
      <c r="J6" s="172"/>
      <c r="K6" s="172">
        <v>740</v>
      </c>
      <c r="L6" s="172"/>
      <c r="M6" s="172">
        <v>740</v>
      </c>
    </row>
    <row r="7" spans="1:16" ht="15" customHeight="1" x14ac:dyDescent="0.25">
      <c r="A7" s="305"/>
      <c r="B7" s="293"/>
      <c r="C7" s="293"/>
      <c r="D7" s="171" t="s">
        <v>154</v>
      </c>
      <c r="E7" s="172">
        <v>320.58749999999998</v>
      </c>
      <c r="F7" s="172">
        <v>118.05</v>
      </c>
      <c r="G7" s="157">
        <v>202</v>
      </c>
      <c r="H7" s="157">
        <v>13</v>
      </c>
      <c r="I7" s="157">
        <f t="shared" si="0"/>
        <v>215</v>
      </c>
      <c r="J7" s="157"/>
      <c r="K7" s="172">
        <v>131</v>
      </c>
      <c r="L7" s="157"/>
      <c r="M7" s="172">
        <v>131</v>
      </c>
    </row>
    <row r="8" spans="1:16" x14ac:dyDescent="0.25">
      <c r="A8" s="306"/>
      <c r="B8" s="133"/>
      <c r="C8" s="136"/>
      <c r="D8" s="145"/>
      <c r="E8" s="146">
        <v>104368.534</v>
      </c>
      <c r="F8" s="147">
        <v>38451</v>
      </c>
      <c r="G8" s="148">
        <f>SUM(G2:G7)</f>
        <v>65917</v>
      </c>
      <c r="H8" s="148">
        <f>H2+H3+H4+H5+H6+H7</f>
        <v>3806</v>
      </c>
      <c r="I8" s="148">
        <f>SUM(I2:I7)</f>
        <v>69723</v>
      </c>
      <c r="J8" s="148">
        <f>J2+J3+J4+J5+J6+J7</f>
        <v>0</v>
      </c>
      <c r="K8" s="121">
        <f>SUM(K2:K7)</f>
        <v>41688</v>
      </c>
      <c r="L8" s="148"/>
      <c r="M8" s="121">
        <f>SUM(M2:M7)</f>
        <v>41688</v>
      </c>
    </row>
    <row r="9" spans="1:16" ht="15" customHeight="1" x14ac:dyDescent="0.25">
      <c r="A9" s="307" t="s">
        <v>133</v>
      </c>
      <c r="B9" s="292" t="s">
        <v>145</v>
      </c>
      <c r="C9" s="318" t="s">
        <v>140</v>
      </c>
      <c r="D9" s="156" t="s">
        <v>155</v>
      </c>
      <c r="E9" s="175">
        <v>2661.37788</v>
      </c>
      <c r="F9" s="175">
        <v>980.50763999999992</v>
      </c>
      <c r="G9" s="157">
        <v>1681</v>
      </c>
      <c r="H9" s="157">
        <v>981</v>
      </c>
      <c r="I9" s="157">
        <f>H9+G9</f>
        <v>2662</v>
      </c>
      <c r="J9" s="157"/>
      <c r="K9" s="175">
        <v>1063</v>
      </c>
      <c r="L9" s="157"/>
      <c r="M9" s="175">
        <v>1063</v>
      </c>
    </row>
    <row r="10" spans="1:16" ht="15" customHeight="1" x14ac:dyDescent="0.25">
      <c r="A10" s="308"/>
      <c r="B10" s="293"/>
      <c r="C10" s="319"/>
      <c r="D10" s="176" t="s">
        <v>156</v>
      </c>
      <c r="E10" s="177">
        <v>469.65491999999995</v>
      </c>
      <c r="F10" s="177">
        <v>173.03075999999999</v>
      </c>
      <c r="G10" s="157">
        <v>297</v>
      </c>
      <c r="H10" s="157">
        <v>153</v>
      </c>
      <c r="I10" s="157">
        <f>H10+G10</f>
        <v>450</v>
      </c>
      <c r="J10" s="157"/>
      <c r="K10" s="175">
        <v>167</v>
      </c>
      <c r="L10" s="157"/>
      <c r="M10" s="175">
        <v>167</v>
      </c>
    </row>
    <row r="11" spans="1:16" x14ac:dyDescent="0.25">
      <c r="A11" s="309"/>
      <c r="B11" s="134"/>
      <c r="C11" s="135"/>
      <c r="D11" s="130"/>
      <c r="E11" s="149">
        <v>3131.0328</v>
      </c>
      <c r="F11" s="150">
        <v>1153.5383999999999</v>
      </c>
      <c r="G11" s="152">
        <f>SUM(G9:G10)</f>
        <v>1978</v>
      </c>
      <c r="H11" s="152">
        <f>SUM(H9:H10)</f>
        <v>1134</v>
      </c>
      <c r="I11" s="152">
        <f>SUM(I9:I10)</f>
        <v>3112</v>
      </c>
      <c r="J11" s="152">
        <f>SUM(J9:J10)</f>
        <v>0</v>
      </c>
      <c r="K11" s="151">
        <f>SUM(K9:K10)</f>
        <v>1230</v>
      </c>
      <c r="L11" s="152"/>
      <c r="M11" s="151">
        <f>SUM(M9:M10)</f>
        <v>1230</v>
      </c>
    </row>
    <row r="12" spans="1:16" ht="15" customHeight="1" x14ac:dyDescent="0.25">
      <c r="A12" s="310" t="s">
        <v>134</v>
      </c>
      <c r="B12" s="316" t="s">
        <v>146</v>
      </c>
      <c r="C12" s="320" t="s">
        <v>52</v>
      </c>
      <c r="D12" s="171" t="s">
        <v>157</v>
      </c>
      <c r="E12" s="172">
        <v>85775.2</v>
      </c>
      <c r="F12" s="172">
        <v>14565.6</v>
      </c>
      <c r="G12" s="157">
        <v>71210</v>
      </c>
      <c r="H12" s="157">
        <v>7157</v>
      </c>
      <c r="I12" s="157">
        <f>H12+G12</f>
        <v>78367</v>
      </c>
      <c r="J12" s="157"/>
      <c r="K12" s="172">
        <v>76662</v>
      </c>
      <c r="L12" s="157">
        <v>-24310</v>
      </c>
      <c r="M12" s="172">
        <f>K12+L12</f>
        <v>52352</v>
      </c>
      <c r="O12" s="159"/>
    </row>
    <row r="13" spans="1:16" ht="15" customHeight="1" x14ac:dyDescent="0.25">
      <c r="A13" s="311"/>
      <c r="B13" s="317"/>
      <c r="C13" s="321"/>
      <c r="D13" s="171" t="s">
        <v>158</v>
      </c>
      <c r="E13" s="172">
        <v>15136.8</v>
      </c>
      <c r="F13" s="172">
        <v>2570.4</v>
      </c>
      <c r="G13" s="157">
        <v>12566</v>
      </c>
      <c r="H13" s="157">
        <v>1203</v>
      </c>
      <c r="I13" s="157">
        <f>H13+G13</f>
        <v>13769</v>
      </c>
      <c r="J13" s="157"/>
      <c r="K13" s="172">
        <v>13468</v>
      </c>
      <c r="L13" s="157">
        <v>-4290</v>
      </c>
      <c r="M13" s="172">
        <f>K13+L13</f>
        <v>9178</v>
      </c>
      <c r="O13" s="159"/>
    </row>
    <row r="14" spans="1:16" ht="15" customHeight="1" x14ac:dyDescent="0.25">
      <c r="A14" s="311"/>
      <c r="B14" s="296" t="s">
        <v>138</v>
      </c>
      <c r="C14" s="321"/>
      <c r="D14" s="171" t="s">
        <v>161</v>
      </c>
      <c r="E14" s="172" t="s">
        <v>166</v>
      </c>
      <c r="F14" s="172" t="s">
        <v>166</v>
      </c>
      <c r="G14" s="157" t="s">
        <v>166</v>
      </c>
      <c r="H14" s="157"/>
      <c r="I14" s="157" t="s">
        <v>166</v>
      </c>
      <c r="J14" s="157">
        <v>-2556</v>
      </c>
      <c r="K14" s="172"/>
      <c r="L14" s="157">
        <v>23800</v>
      </c>
      <c r="M14" s="172">
        <f>J14+L14</f>
        <v>21244</v>
      </c>
      <c r="N14" s="166"/>
      <c r="P14" s="159"/>
    </row>
    <row r="15" spans="1:16" ht="15" customHeight="1" x14ac:dyDescent="0.25">
      <c r="A15" s="311"/>
      <c r="B15" s="323"/>
      <c r="C15" s="321"/>
      <c r="D15" s="171" t="s">
        <v>162</v>
      </c>
      <c r="E15" s="172" t="s">
        <v>166</v>
      </c>
      <c r="F15" s="172" t="s">
        <v>166</v>
      </c>
      <c r="G15" s="157" t="s">
        <v>166</v>
      </c>
      <c r="H15" s="157"/>
      <c r="I15" s="157" t="s">
        <v>166</v>
      </c>
      <c r="J15" s="157">
        <v>-451</v>
      </c>
      <c r="K15" s="172"/>
      <c r="L15" s="157">
        <v>4200</v>
      </c>
      <c r="M15" s="172">
        <f>J15+L15</f>
        <v>3749</v>
      </c>
      <c r="N15" s="166"/>
      <c r="P15" s="159"/>
    </row>
    <row r="16" spans="1:16" ht="15" customHeight="1" x14ac:dyDescent="0.25">
      <c r="A16" s="311"/>
      <c r="B16" s="301" t="s">
        <v>196</v>
      </c>
      <c r="C16" s="321"/>
      <c r="D16" s="171" t="s">
        <v>194</v>
      </c>
      <c r="E16" s="172" t="s">
        <v>166</v>
      </c>
      <c r="F16" s="172" t="s">
        <v>166</v>
      </c>
      <c r="G16" s="157" t="s">
        <v>166</v>
      </c>
      <c r="H16" s="157">
        <v>50</v>
      </c>
      <c r="I16" s="157">
        <f>H16</f>
        <v>50</v>
      </c>
      <c r="J16" s="157"/>
      <c r="K16" s="172">
        <v>50</v>
      </c>
      <c r="L16" s="157">
        <v>340</v>
      </c>
      <c r="M16" s="172">
        <f>L16+K16</f>
        <v>390</v>
      </c>
      <c r="N16" s="166"/>
      <c r="P16" s="159"/>
    </row>
    <row r="17" spans="1:17" ht="15" customHeight="1" x14ac:dyDescent="0.25">
      <c r="A17" s="311"/>
      <c r="B17" s="301"/>
      <c r="C17" s="322"/>
      <c r="D17" s="171" t="s">
        <v>195</v>
      </c>
      <c r="E17" s="171" t="s">
        <v>166</v>
      </c>
      <c r="F17" s="171" t="s">
        <v>166</v>
      </c>
      <c r="G17" s="171" t="s">
        <v>166</v>
      </c>
      <c r="H17" s="171">
        <v>30</v>
      </c>
      <c r="I17" s="171">
        <f>H17</f>
        <v>30</v>
      </c>
      <c r="J17" s="171"/>
      <c r="K17" s="171">
        <v>30</v>
      </c>
      <c r="L17" s="171">
        <v>60</v>
      </c>
      <c r="M17" s="171">
        <f>K17+L17</f>
        <v>90</v>
      </c>
      <c r="P17" s="159"/>
    </row>
    <row r="18" spans="1:17" x14ac:dyDescent="0.25">
      <c r="A18" s="312"/>
      <c r="B18" s="131"/>
      <c r="C18" s="132"/>
      <c r="D18" s="153"/>
      <c r="E18" s="154">
        <f t="shared" ref="E18:M18" si="1">SUM(E12:E17)</f>
        <v>100912</v>
      </c>
      <c r="F18" s="155">
        <f t="shared" si="1"/>
        <v>17136</v>
      </c>
      <c r="G18" s="239">
        <f t="shared" si="1"/>
        <v>83776</v>
      </c>
      <c r="H18" s="239">
        <f t="shared" si="1"/>
        <v>8440</v>
      </c>
      <c r="I18" s="239">
        <f>SUM(I12:I17)</f>
        <v>92216</v>
      </c>
      <c r="J18" s="239">
        <f t="shared" si="1"/>
        <v>-3007</v>
      </c>
      <c r="K18" s="155">
        <f>SUM(K12:K17)</f>
        <v>90210</v>
      </c>
      <c r="L18" s="239"/>
      <c r="M18" s="155">
        <f t="shared" si="1"/>
        <v>87003</v>
      </c>
    </row>
    <row r="19" spans="1:17" ht="15" customHeight="1" x14ac:dyDescent="0.25">
      <c r="A19" s="313" t="s">
        <v>136</v>
      </c>
      <c r="B19" s="292" t="s">
        <v>165</v>
      </c>
      <c r="C19" s="294" t="s">
        <v>55</v>
      </c>
      <c r="D19" s="156" t="s">
        <v>159</v>
      </c>
      <c r="E19" s="125">
        <v>12138</v>
      </c>
      <c r="F19" s="158">
        <v>4046</v>
      </c>
      <c r="G19" s="157">
        <v>8092</v>
      </c>
      <c r="H19" s="157">
        <v>4046</v>
      </c>
      <c r="I19" s="157">
        <f>H19+G19</f>
        <v>12138</v>
      </c>
      <c r="J19" s="157"/>
      <c r="K19" s="158">
        <v>12138</v>
      </c>
      <c r="L19" s="157"/>
      <c r="M19" s="158">
        <f>K19+J19</f>
        <v>12138</v>
      </c>
      <c r="N19" s="159"/>
    </row>
    <row r="20" spans="1:17" ht="15" customHeight="1" x14ac:dyDescent="0.25">
      <c r="A20" s="314"/>
      <c r="B20" s="293"/>
      <c r="C20" s="295"/>
      <c r="D20" s="122" t="s">
        <v>160</v>
      </c>
      <c r="E20" s="123">
        <v>2142</v>
      </c>
      <c r="F20" s="127">
        <v>714</v>
      </c>
      <c r="G20" s="124">
        <v>1428</v>
      </c>
      <c r="H20" s="124">
        <v>714</v>
      </c>
      <c r="I20" s="124">
        <f>H20+G20</f>
        <v>2142</v>
      </c>
      <c r="J20" s="124"/>
      <c r="K20" s="158">
        <v>2142</v>
      </c>
      <c r="L20" s="124"/>
      <c r="M20" s="158">
        <f>K20+J20</f>
        <v>2142</v>
      </c>
    </row>
    <row r="21" spans="1:17" ht="15" customHeight="1" x14ac:dyDescent="0.25">
      <c r="A21" s="314"/>
      <c r="B21" s="247"/>
      <c r="C21" s="248"/>
      <c r="D21" s="249" t="s">
        <v>205</v>
      </c>
      <c r="E21" s="250">
        <f t="shared" ref="E21:J21" si="2">SUM(E19:E20)</f>
        <v>14280</v>
      </c>
      <c r="F21" s="251">
        <f t="shared" si="2"/>
        <v>4760</v>
      </c>
      <c r="G21" s="252">
        <f t="shared" si="2"/>
        <v>9520</v>
      </c>
      <c r="H21" s="252">
        <f t="shared" si="2"/>
        <v>4760</v>
      </c>
      <c r="I21" s="252">
        <f t="shared" si="2"/>
        <v>14280</v>
      </c>
      <c r="J21" s="252">
        <f t="shared" si="2"/>
        <v>0</v>
      </c>
      <c r="K21" s="245"/>
      <c r="L21" s="252"/>
      <c r="M21" s="245"/>
    </row>
    <row r="22" spans="1:17" ht="15" customHeight="1" x14ac:dyDescent="0.25">
      <c r="A22" s="314"/>
      <c r="B22" s="292" t="s">
        <v>138</v>
      </c>
      <c r="C22" s="296" t="s">
        <v>56</v>
      </c>
      <c r="D22" s="171" t="s">
        <v>161</v>
      </c>
      <c r="E22" s="172">
        <v>32368</v>
      </c>
      <c r="F22" s="158">
        <v>12138</v>
      </c>
      <c r="G22" s="173">
        <v>20230</v>
      </c>
      <c r="H22" s="173">
        <v>12138</v>
      </c>
      <c r="I22" s="173">
        <f>H22+G22</f>
        <v>32368</v>
      </c>
      <c r="J22" s="173"/>
      <c r="K22" s="158">
        <v>30774</v>
      </c>
      <c r="L22" s="173"/>
      <c r="M22" s="158">
        <f t="shared" ref="M22:M27" si="3">K22+J22</f>
        <v>30774</v>
      </c>
      <c r="N22" s="165"/>
      <c r="O22" s="166"/>
    </row>
    <row r="23" spans="1:17" ht="15" customHeight="1" x14ac:dyDescent="0.25">
      <c r="A23" s="314"/>
      <c r="B23" s="300"/>
      <c r="C23" s="297"/>
      <c r="D23" s="171" t="s">
        <v>162</v>
      </c>
      <c r="E23" s="172">
        <v>5712</v>
      </c>
      <c r="F23" s="158">
        <v>2142</v>
      </c>
      <c r="G23" s="157">
        <v>3570</v>
      </c>
      <c r="H23" s="157">
        <v>2142</v>
      </c>
      <c r="I23" s="173">
        <f t="shared" ref="I23:I27" si="4">H23+G23</f>
        <v>5712</v>
      </c>
      <c r="J23" s="157"/>
      <c r="K23" s="158">
        <v>5431</v>
      </c>
      <c r="L23" s="157"/>
      <c r="M23" s="158">
        <f t="shared" si="3"/>
        <v>5431</v>
      </c>
    </row>
    <row r="24" spans="1:17" ht="15" customHeight="1" x14ac:dyDescent="0.25">
      <c r="A24" s="314"/>
      <c r="B24" s="300"/>
      <c r="C24" s="296" t="s">
        <v>139</v>
      </c>
      <c r="D24" s="171" t="s">
        <v>161</v>
      </c>
      <c r="E24" s="172">
        <v>23062</v>
      </c>
      <c r="F24" s="158">
        <v>8497</v>
      </c>
      <c r="G24" s="157">
        <v>14566</v>
      </c>
      <c r="H24" s="157">
        <v>8497</v>
      </c>
      <c r="I24" s="173">
        <f t="shared" si="4"/>
        <v>23063</v>
      </c>
      <c r="J24" s="157"/>
      <c r="K24" s="158">
        <v>23063</v>
      </c>
      <c r="L24" s="157"/>
      <c r="M24" s="158">
        <f t="shared" si="3"/>
        <v>23063</v>
      </c>
    </row>
    <row r="25" spans="1:17" ht="15" customHeight="1" x14ac:dyDescent="0.25">
      <c r="A25" s="314"/>
      <c r="B25" s="300"/>
      <c r="C25" s="297"/>
      <c r="D25" s="171" t="s">
        <v>162</v>
      </c>
      <c r="E25" s="172">
        <v>4070</v>
      </c>
      <c r="F25" s="158">
        <v>1499</v>
      </c>
      <c r="G25" s="174">
        <v>2570</v>
      </c>
      <c r="H25" s="174">
        <v>1499</v>
      </c>
      <c r="I25" s="173">
        <f t="shared" si="4"/>
        <v>4069</v>
      </c>
      <c r="J25" s="174"/>
      <c r="K25" s="158">
        <v>4069</v>
      </c>
      <c r="L25" s="174"/>
      <c r="M25" s="158">
        <f t="shared" si="3"/>
        <v>4069</v>
      </c>
    </row>
    <row r="26" spans="1:17" ht="15" customHeight="1" x14ac:dyDescent="0.25">
      <c r="A26" s="314"/>
      <c r="B26" s="300"/>
      <c r="C26" s="296" t="s">
        <v>58</v>
      </c>
      <c r="D26" s="171" t="s">
        <v>161</v>
      </c>
      <c r="E26" s="172">
        <v>30750</v>
      </c>
      <c r="F26" s="158">
        <v>4855</v>
      </c>
      <c r="G26" s="157">
        <v>25894</v>
      </c>
      <c r="H26" s="157">
        <v>2299</v>
      </c>
      <c r="I26" s="173">
        <f t="shared" si="4"/>
        <v>28193</v>
      </c>
      <c r="J26" s="157">
        <v>2556</v>
      </c>
      <c r="K26" s="158">
        <v>28193</v>
      </c>
      <c r="L26" s="157"/>
      <c r="M26" s="158">
        <f t="shared" si="3"/>
        <v>30749</v>
      </c>
      <c r="N26" s="165"/>
    </row>
    <row r="27" spans="1:17" ht="15" customHeight="1" x14ac:dyDescent="0.25">
      <c r="A27" s="314"/>
      <c r="B27" s="300"/>
      <c r="C27" s="297"/>
      <c r="D27" s="171" t="s">
        <v>162</v>
      </c>
      <c r="E27" s="172">
        <v>5426</v>
      </c>
      <c r="F27" s="158">
        <v>857</v>
      </c>
      <c r="G27" s="173">
        <v>4570</v>
      </c>
      <c r="H27" s="173">
        <v>406</v>
      </c>
      <c r="I27" s="173">
        <f t="shared" si="4"/>
        <v>4976</v>
      </c>
      <c r="J27" s="173">
        <v>451</v>
      </c>
      <c r="K27" s="158">
        <v>4976</v>
      </c>
      <c r="L27" s="173"/>
      <c r="M27" s="158">
        <f t="shared" si="3"/>
        <v>5427</v>
      </c>
      <c r="N27" s="166"/>
      <c r="Q27" s="165"/>
    </row>
    <row r="28" spans="1:17" s="240" customFormat="1" ht="15" customHeight="1" x14ac:dyDescent="0.25">
      <c r="A28" s="314"/>
      <c r="B28" s="253"/>
      <c r="C28" s="248"/>
      <c r="D28" s="243" t="s">
        <v>205</v>
      </c>
      <c r="E28" s="244">
        <f t="shared" ref="E28:M28" si="5">SUM(E22:E27)</f>
        <v>101388</v>
      </c>
      <c r="F28" s="245">
        <f t="shared" si="5"/>
        <v>29988</v>
      </c>
      <c r="G28" s="246">
        <f t="shared" si="5"/>
        <v>71400</v>
      </c>
      <c r="H28" s="246">
        <f>SUM(H22:H27)</f>
        <v>26981</v>
      </c>
      <c r="I28" s="246">
        <f>SUM(I22:I27)</f>
        <v>98381</v>
      </c>
      <c r="J28" s="246">
        <f t="shared" si="5"/>
        <v>3007</v>
      </c>
      <c r="K28" s="245">
        <f>SUM(K22:K27)</f>
        <v>96506</v>
      </c>
      <c r="L28" s="246"/>
      <c r="M28" s="245">
        <f t="shared" si="5"/>
        <v>99513</v>
      </c>
      <c r="N28" s="241"/>
      <c r="Q28" s="241"/>
    </row>
    <row r="29" spans="1:17" ht="15" customHeight="1" x14ac:dyDescent="0.25">
      <c r="A29" s="314"/>
      <c r="B29" s="301" t="s">
        <v>196</v>
      </c>
      <c r="C29" s="296" t="s">
        <v>58</v>
      </c>
      <c r="D29" s="171" t="s">
        <v>194</v>
      </c>
      <c r="E29" s="234"/>
      <c r="F29" s="235" t="s">
        <v>166</v>
      </c>
      <c r="G29" s="236" t="s">
        <v>166</v>
      </c>
      <c r="H29" s="236" t="s">
        <v>166</v>
      </c>
      <c r="I29" s="236" t="s">
        <v>166</v>
      </c>
      <c r="J29" s="236" t="s">
        <v>166</v>
      </c>
      <c r="K29" s="158">
        <v>0</v>
      </c>
      <c r="L29" s="173">
        <v>170</v>
      </c>
      <c r="M29" s="158">
        <f>L29</f>
        <v>170</v>
      </c>
    </row>
    <row r="30" spans="1:17" ht="15" customHeight="1" x14ac:dyDescent="0.25">
      <c r="A30" s="314"/>
      <c r="B30" s="301"/>
      <c r="C30" s="297"/>
      <c r="D30" s="171" t="s">
        <v>210</v>
      </c>
      <c r="E30" s="234"/>
      <c r="F30" s="235" t="s">
        <v>166</v>
      </c>
      <c r="G30" s="236" t="s">
        <v>166</v>
      </c>
      <c r="H30" s="236" t="s">
        <v>166</v>
      </c>
      <c r="I30" s="236" t="s">
        <v>166</v>
      </c>
      <c r="J30" s="236" t="s">
        <v>166</v>
      </c>
      <c r="K30" s="158">
        <v>0</v>
      </c>
      <c r="L30" s="173">
        <v>30</v>
      </c>
      <c r="M30" s="158">
        <f>L30</f>
        <v>30</v>
      </c>
    </row>
    <row r="31" spans="1:17" ht="15" customHeight="1" x14ac:dyDescent="0.25">
      <c r="A31" s="314"/>
      <c r="B31" s="254"/>
      <c r="C31" s="255"/>
      <c r="D31" s="256" t="s">
        <v>205</v>
      </c>
      <c r="E31" s="257"/>
      <c r="F31" s="258"/>
      <c r="G31" s="259"/>
      <c r="H31" s="259"/>
      <c r="I31" s="259" t="s">
        <v>166</v>
      </c>
      <c r="J31" s="259"/>
      <c r="K31" s="245">
        <f>SUM(K29:K30)</f>
        <v>0</v>
      </c>
      <c r="L31" s="259"/>
      <c r="M31" s="245">
        <f>SUM(M29:M30)</f>
        <v>200</v>
      </c>
    </row>
    <row r="32" spans="1:17" ht="15" customHeight="1" x14ac:dyDescent="0.25">
      <c r="A32" s="314"/>
      <c r="B32" s="290" t="s">
        <v>147</v>
      </c>
      <c r="C32" s="298" t="s">
        <v>59</v>
      </c>
      <c r="D32" s="122" t="s">
        <v>163</v>
      </c>
      <c r="E32" s="123">
        <v>8092</v>
      </c>
      <c r="F32" s="123">
        <v>4046</v>
      </c>
      <c r="G32" s="124">
        <v>4046</v>
      </c>
      <c r="H32" s="124">
        <v>4046</v>
      </c>
      <c r="I32" s="124">
        <f>H32+G32</f>
        <v>8092</v>
      </c>
      <c r="J32" s="124"/>
      <c r="K32" s="158">
        <v>8092</v>
      </c>
      <c r="L32" s="124"/>
      <c r="M32" s="158">
        <f>K32+J32</f>
        <v>8092</v>
      </c>
    </row>
    <row r="33" spans="1:13" ht="15" customHeight="1" x14ac:dyDescent="0.25">
      <c r="A33" s="314"/>
      <c r="B33" s="291"/>
      <c r="C33" s="299"/>
      <c r="D33" s="126" t="s">
        <v>164</v>
      </c>
      <c r="E33" s="123">
        <v>1428</v>
      </c>
      <c r="F33" s="123">
        <v>714</v>
      </c>
      <c r="G33" s="126">
        <v>714</v>
      </c>
      <c r="H33" s="126">
        <v>714</v>
      </c>
      <c r="I33" s="126">
        <f>H33+G33</f>
        <v>1428</v>
      </c>
      <c r="J33" s="126"/>
      <c r="K33" s="158">
        <v>1428</v>
      </c>
      <c r="L33" s="126"/>
      <c r="M33" s="158">
        <f>K33+J33</f>
        <v>1428</v>
      </c>
    </row>
    <row r="34" spans="1:13" ht="15" customHeight="1" x14ac:dyDescent="0.25">
      <c r="A34" s="314"/>
      <c r="B34" s="260"/>
      <c r="C34" s="261"/>
      <c r="D34" s="262" t="s">
        <v>205</v>
      </c>
      <c r="E34" s="250">
        <f t="shared" ref="E34:M34" si="6">SUM(E32:E33)</f>
        <v>9520</v>
      </c>
      <c r="F34" s="250">
        <f t="shared" si="6"/>
        <v>4760</v>
      </c>
      <c r="G34" s="262">
        <f t="shared" si="6"/>
        <v>4760</v>
      </c>
      <c r="H34" s="262">
        <f t="shared" si="6"/>
        <v>4760</v>
      </c>
      <c r="I34" s="262">
        <f>SUM(I32:I33)</f>
        <v>9520</v>
      </c>
      <c r="J34" s="262">
        <f t="shared" si="6"/>
        <v>0</v>
      </c>
      <c r="K34" s="245">
        <f>SUM(K32:K33)</f>
        <v>9520</v>
      </c>
      <c r="L34" s="262"/>
      <c r="M34" s="245">
        <f t="shared" si="6"/>
        <v>9520</v>
      </c>
    </row>
    <row r="35" spans="1:13" ht="15" customHeight="1" x14ac:dyDescent="0.25">
      <c r="A35" s="315"/>
      <c r="B35" s="137"/>
      <c r="C35" s="138"/>
      <c r="D35" s="160"/>
      <c r="E35" s="161">
        <f t="shared" ref="E35:M35" si="7">SUM(E19:E20,E22:E27,E29:E30,E32:E33)</f>
        <v>125188</v>
      </c>
      <c r="F35" s="161">
        <f t="shared" si="7"/>
        <v>39508</v>
      </c>
      <c r="G35" s="238">
        <f t="shared" si="7"/>
        <v>85680</v>
      </c>
      <c r="H35" s="238">
        <f t="shared" ref="H35" si="8">SUM(H19:H20,H22:H27,H29:H30,H32:H33)</f>
        <v>36501</v>
      </c>
      <c r="I35" s="238">
        <f>SUM(I19:I20,I22:I27,I32:I33)</f>
        <v>122181</v>
      </c>
      <c r="J35" s="238">
        <f t="shared" si="7"/>
        <v>3007</v>
      </c>
      <c r="K35" s="161">
        <f>SUM(K19:K20,K22:K27,K29:K30,K32:K33)</f>
        <v>120306</v>
      </c>
      <c r="L35" s="238"/>
      <c r="M35" s="161">
        <f t="shared" si="7"/>
        <v>123513</v>
      </c>
    </row>
    <row r="36" spans="1:13" ht="15" customHeight="1" x14ac:dyDescent="0.25">
      <c r="A36" s="302" t="s">
        <v>137</v>
      </c>
      <c r="B36" s="116" t="s">
        <v>61</v>
      </c>
      <c r="C36" s="119"/>
      <c r="D36" s="228" t="s">
        <v>61</v>
      </c>
      <c r="E36" s="229">
        <v>0</v>
      </c>
      <c r="F36" s="230">
        <v>0</v>
      </c>
      <c r="G36" s="230">
        <v>0</v>
      </c>
      <c r="H36" s="230">
        <v>0</v>
      </c>
      <c r="I36" s="230"/>
      <c r="J36" s="230">
        <v>0</v>
      </c>
      <c r="K36" s="230">
        <v>0</v>
      </c>
      <c r="L36" s="230"/>
      <c r="M36" s="230">
        <v>0</v>
      </c>
    </row>
    <row r="37" spans="1:13" ht="15" customHeight="1" x14ac:dyDescent="0.25">
      <c r="A37" s="303"/>
      <c r="B37" s="163"/>
      <c r="C37" s="164"/>
      <c r="D37" s="231"/>
      <c r="E37" s="232">
        <v>0</v>
      </c>
      <c r="F37" s="233">
        <v>0</v>
      </c>
      <c r="G37" s="233">
        <v>0</v>
      </c>
      <c r="H37" s="233">
        <v>0</v>
      </c>
      <c r="I37" s="233"/>
      <c r="J37" s="233">
        <v>0</v>
      </c>
      <c r="K37" s="233">
        <v>0</v>
      </c>
      <c r="L37" s="233"/>
      <c r="M37" s="233">
        <v>0</v>
      </c>
    </row>
    <row r="38" spans="1:13" ht="36" x14ac:dyDescent="0.25">
      <c r="A38" s="129"/>
      <c r="B38" s="288" t="s">
        <v>44</v>
      </c>
      <c r="C38" s="288"/>
      <c r="D38" s="289"/>
      <c r="E38" s="148">
        <v>333598.7928</v>
      </c>
      <c r="F38" s="263">
        <v>96248.53839999999</v>
      </c>
      <c r="G38" s="265">
        <f>SUM(G35,G18,G11,G8)</f>
        <v>237351</v>
      </c>
      <c r="H38" s="265">
        <f>SUM(H35,H18,H11,H8)</f>
        <v>49881</v>
      </c>
      <c r="I38" s="265">
        <f>SUM(I8+I11+I18+I35)</f>
        <v>287232</v>
      </c>
      <c r="J38" s="265">
        <f>SUM(J35,J18,J11,J8)</f>
        <v>0</v>
      </c>
      <c r="K38" s="264">
        <f>SUM(K8,K11,K18,K35)</f>
        <v>253434</v>
      </c>
      <c r="L38" s="265"/>
      <c r="M38" s="264">
        <f>SUM(M8,M11,M18,M35)</f>
        <v>253434</v>
      </c>
    </row>
    <row r="41" spans="1:13" x14ac:dyDescent="0.25">
      <c r="C41" s="168" t="s">
        <v>167</v>
      </c>
      <c r="D41" s="169">
        <v>40.799999999999997</v>
      </c>
    </row>
    <row r="42" spans="1:13" x14ac:dyDescent="0.25">
      <c r="C42" s="168" t="s">
        <v>168</v>
      </c>
      <c r="D42" s="167">
        <v>2965.26</v>
      </c>
      <c r="E42" s="120">
        <v>2520</v>
      </c>
      <c r="F42" s="120">
        <v>445</v>
      </c>
    </row>
    <row r="43" spans="1:13" x14ac:dyDescent="0.25">
      <c r="C43" s="168" t="s">
        <v>169</v>
      </c>
      <c r="D43" s="169">
        <v>2276.9</v>
      </c>
    </row>
    <row r="44" spans="1:13" x14ac:dyDescent="0.25">
      <c r="C44" s="168" t="s">
        <v>170</v>
      </c>
      <c r="D44" s="169">
        <v>3015.88</v>
      </c>
    </row>
    <row r="45" spans="1:13" x14ac:dyDescent="0.25">
      <c r="C45" s="170"/>
    </row>
    <row r="46" spans="1:13" x14ac:dyDescent="0.25">
      <c r="C46" s="118" t="s">
        <v>197</v>
      </c>
      <c r="D46" s="120">
        <v>1875</v>
      </c>
      <c r="E46" s="120">
        <v>1594</v>
      </c>
      <c r="F46" s="120">
        <v>281</v>
      </c>
    </row>
    <row r="47" spans="1:13" x14ac:dyDescent="0.25">
      <c r="C47" s="118" t="s">
        <v>198</v>
      </c>
    </row>
    <row r="48" spans="1:13" x14ac:dyDescent="0.25">
      <c r="C48" s="118" t="s">
        <v>199</v>
      </c>
    </row>
    <row r="49" spans="3:6" x14ac:dyDescent="0.25">
      <c r="C49" s="118" t="s">
        <v>200</v>
      </c>
    </row>
    <row r="50" spans="3:6" ht="30" x14ac:dyDescent="0.25">
      <c r="C50" s="118" t="s">
        <v>201</v>
      </c>
      <c r="D50" s="120" t="s">
        <v>202</v>
      </c>
      <c r="E50" s="120" t="s">
        <v>203</v>
      </c>
      <c r="F50" s="237" t="s">
        <v>204</v>
      </c>
    </row>
  </sheetData>
  <mergeCells count="28"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C12:C17"/>
    <mergeCell ref="B14:B15"/>
    <mergeCell ref="B16:B17"/>
    <mergeCell ref="A36:A37"/>
    <mergeCell ref="A2:A8"/>
    <mergeCell ref="A9:A11"/>
    <mergeCell ref="A12:A18"/>
    <mergeCell ref="A19:A35"/>
    <mergeCell ref="B38:D38"/>
    <mergeCell ref="B32:B33"/>
    <mergeCell ref="B19:B20"/>
    <mergeCell ref="C19:C20"/>
    <mergeCell ref="C22:C23"/>
    <mergeCell ref="C24:C25"/>
    <mergeCell ref="C26:C27"/>
    <mergeCell ref="C32:C33"/>
    <mergeCell ref="B22:B27"/>
    <mergeCell ref="B29:B30"/>
    <mergeCell ref="C29:C30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79EEA-768D-4D43-BBC0-EAB7E89B4207}">
  <dimension ref="C3:H59"/>
  <sheetViews>
    <sheetView tabSelected="1" workbookViewId="0">
      <selection activeCell="E17" sqref="A1:XFD1048576"/>
    </sheetView>
  </sheetViews>
  <sheetFormatPr defaultRowHeight="15" x14ac:dyDescent="0.25"/>
  <cols>
    <col min="3" max="3" width="19.140625" style="342" bestFit="1" customWidth="1"/>
    <col min="4" max="4" width="39.85546875" bestFit="1" customWidth="1"/>
    <col min="5" max="5" width="27.7109375" bestFit="1" customWidth="1"/>
    <col min="6" max="6" width="48.5703125" bestFit="1" customWidth="1"/>
  </cols>
  <sheetData>
    <row r="3" spans="3:6" x14ac:dyDescent="0.25">
      <c r="D3" s="358">
        <v>4.76</v>
      </c>
    </row>
    <row r="5" spans="3:6" x14ac:dyDescent="0.25">
      <c r="C5" s="343" t="s">
        <v>130</v>
      </c>
    </row>
    <row r="6" spans="3:6" x14ac:dyDescent="0.25">
      <c r="C6" s="344"/>
      <c r="D6" s="357"/>
    </row>
    <row r="7" spans="3:6" x14ac:dyDescent="0.25">
      <c r="C7" s="344"/>
      <c r="D7" s="357"/>
    </row>
    <row r="8" spans="3:6" x14ac:dyDescent="0.25">
      <c r="C8" s="344"/>
      <c r="D8" s="357"/>
    </row>
    <row r="9" spans="3:6" x14ac:dyDescent="0.25">
      <c r="C9" s="344"/>
      <c r="D9" s="357"/>
    </row>
    <row r="10" spans="3:6" x14ac:dyDescent="0.25">
      <c r="C10" s="344"/>
      <c r="D10" s="357"/>
    </row>
    <row r="11" spans="3:6" x14ac:dyDescent="0.25">
      <c r="C11" s="345"/>
      <c r="D11" s="357"/>
    </row>
    <row r="12" spans="3:6" x14ac:dyDescent="0.25">
      <c r="C12" s="346"/>
      <c r="D12" s="360"/>
      <c r="F12" s="361"/>
    </row>
    <row r="13" spans="3:6" x14ac:dyDescent="0.25">
      <c r="C13" s="345"/>
      <c r="D13" s="357"/>
    </row>
    <row r="14" spans="3:6" x14ac:dyDescent="0.25">
      <c r="C14" s="345"/>
      <c r="D14" s="357"/>
    </row>
    <row r="15" spans="3:6" x14ac:dyDescent="0.25">
      <c r="C15" s="347"/>
      <c r="D15" s="360"/>
      <c r="F15" s="361"/>
    </row>
    <row r="16" spans="3:6" x14ac:dyDescent="0.25">
      <c r="C16" s="345"/>
      <c r="D16" s="357"/>
    </row>
    <row r="17" spans="3:6" x14ac:dyDescent="0.25">
      <c r="C17" s="345"/>
      <c r="D17" s="357"/>
      <c r="E17" s="361" t="s">
        <v>236</v>
      </c>
    </row>
    <row r="18" spans="3:6" x14ac:dyDescent="0.25">
      <c r="C18" s="345"/>
      <c r="D18" s="357"/>
    </row>
    <row r="19" spans="3:6" x14ac:dyDescent="0.25">
      <c r="C19" s="345"/>
      <c r="D19" s="357"/>
    </row>
    <row r="20" spans="3:6" x14ac:dyDescent="0.25">
      <c r="C20" s="345"/>
      <c r="D20" s="357"/>
    </row>
    <row r="21" spans="3:6" x14ac:dyDescent="0.25">
      <c r="C21" s="344"/>
      <c r="D21" s="357"/>
    </row>
    <row r="22" spans="3:6" x14ac:dyDescent="0.25">
      <c r="C22" s="348"/>
      <c r="D22" s="360"/>
      <c r="F22" s="361"/>
    </row>
    <row r="23" spans="3:6" x14ac:dyDescent="0.25">
      <c r="C23" s="345"/>
      <c r="D23" s="357"/>
    </row>
    <row r="24" spans="3:6" x14ac:dyDescent="0.25">
      <c r="C24" s="349"/>
      <c r="D24" s="357"/>
    </row>
    <row r="25" spans="3:6" x14ac:dyDescent="0.25">
      <c r="C25" s="350"/>
      <c r="D25" s="360"/>
    </row>
    <row r="26" spans="3:6" x14ac:dyDescent="0.25">
      <c r="C26" s="345"/>
      <c r="D26" s="357"/>
    </row>
    <row r="27" spans="3:6" x14ac:dyDescent="0.25">
      <c r="C27" s="345"/>
      <c r="D27" s="359"/>
    </row>
    <row r="28" spans="3:6" x14ac:dyDescent="0.25">
      <c r="C28" s="345"/>
      <c r="D28" s="357"/>
    </row>
    <row r="29" spans="3:6" x14ac:dyDescent="0.25">
      <c r="C29" s="345"/>
      <c r="D29" s="359"/>
    </row>
    <row r="30" spans="3:6" x14ac:dyDescent="0.25">
      <c r="C30" s="345"/>
      <c r="D30" s="357"/>
    </row>
    <row r="31" spans="3:6" x14ac:dyDescent="0.25">
      <c r="C31" s="345"/>
      <c r="D31" s="359"/>
    </row>
    <row r="32" spans="3:6" x14ac:dyDescent="0.25">
      <c r="C32" s="351"/>
      <c r="D32" s="360"/>
    </row>
    <row r="33" spans="3:6" x14ac:dyDescent="0.25">
      <c r="C33" s="352"/>
      <c r="D33" s="357"/>
    </row>
    <row r="34" spans="3:6" x14ac:dyDescent="0.25">
      <c r="C34" s="352"/>
      <c r="D34" s="357"/>
    </row>
    <row r="35" spans="3:6" x14ac:dyDescent="0.25">
      <c r="C35" s="353"/>
      <c r="D35" s="360"/>
    </row>
    <row r="36" spans="3:6" x14ac:dyDescent="0.25">
      <c r="C36" s="349"/>
      <c r="D36" s="357"/>
    </row>
    <row r="37" spans="3:6" x14ac:dyDescent="0.25">
      <c r="C37" s="354"/>
      <c r="D37" s="357"/>
    </row>
    <row r="38" spans="3:6" x14ac:dyDescent="0.25">
      <c r="C38" s="355"/>
      <c r="D38" s="360"/>
    </row>
    <row r="39" spans="3:6" x14ac:dyDescent="0.25">
      <c r="C39" s="356"/>
      <c r="D39" s="360"/>
      <c r="F39" s="361"/>
    </row>
    <row r="40" spans="3:6" x14ac:dyDescent="0.25">
      <c r="C40" s="340"/>
      <c r="D40" s="357"/>
    </row>
    <row r="41" spans="3:6" x14ac:dyDescent="0.25">
      <c r="C41" s="341"/>
      <c r="D41" s="357"/>
    </row>
    <row r="42" spans="3:6" x14ac:dyDescent="0.25">
      <c r="C42" s="346"/>
      <c r="D42" s="360"/>
    </row>
    <row r="51" spans="4:8" ht="15.75" thickBot="1" x14ac:dyDescent="0.3"/>
    <row r="52" spans="4:8" ht="15.75" thickBot="1" x14ac:dyDescent="0.3">
      <c r="D52" s="362" t="s">
        <v>211</v>
      </c>
      <c r="E52" s="363" t="s">
        <v>212</v>
      </c>
      <c r="F52" s="363" t="s">
        <v>213</v>
      </c>
      <c r="G52">
        <v>799.58</v>
      </c>
      <c r="H52" s="364" t="s">
        <v>214</v>
      </c>
    </row>
    <row r="53" spans="4:8" ht="15.75" thickBot="1" x14ac:dyDescent="0.3">
      <c r="D53" s="365" t="s">
        <v>211</v>
      </c>
      <c r="E53" s="366" t="s">
        <v>215</v>
      </c>
      <c r="F53" s="366" t="s">
        <v>216</v>
      </c>
      <c r="G53">
        <v>238.24</v>
      </c>
      <c r="H53" s="367" t="s">
        <v>217</v>
      </c>
    </row>
    <row r="54" spans="4:8" ht="15.75" thickBot="1" x14ac:dyDescent="0.3">
      <c r="D54" s="365" t="s">
        <v>211</v>
      </c>
      <c r="E54" s="366" t="s">
        <v>218</v>
      </c>
      <c r="F54" s="366" t="s">
        <v>219</v>
      </c>
      <c r="G54">
        <v>1773.11</v>
      </c>
      <c r="H54" s="367" t="s">
        <v>220</v>
      </c>
    </row>
    <row r="55" spans="4:8" ht="15.75" thickBot="1" x14ac:dyDescent="0.3">
      <c r="D55" s="365" t="s">
        <v>211</v>
      </c>
      <c r="E55" s="366" t="s">
        <v>221</v>
      </c>
      <c r="F55" s="366" t="s">
        <v>222</v>
      </c>
      <c r="G55" s="367" t="s">
        <v>223</v>
      </c>
      <c r="H55" s="367" t="s">
        <v>224</v>
      </c>
    </row>
    <row r="56" spans="4:8" ht="15.75" thickBot="1" x14ac:dyDescent="0.3">
      <c r="D56" s="365" t="s">
        <v>211</v>
      </c>
      <c r="E56" s="366" t="s">
        <v>221</v>
      </c>
      <c r="F56" s="366" t="s">
        <v>225</v>
      </c>
      <c r="G56" s="367" t="s">
        <v>226</v>
      </c>
      <c r="H56" s="367" t="s">
        <v>227</v>
      </c>
    </row>
    <row r="57" spans="4:8" ht="15.75" thickBot="1" x14ac:dyDescent="0.3">
      <c r="D57" s="365" t="s">
        <v>211</v>
      </c>
      <c r="E57" s="366" t="s">
        <v>221</v>
      </c>
      <c r="F57" s="366" t="s">
        <v>228</v>
      </c>
      <c r="G57" s="367" t="s">
        <v>229</v>
      </c>
      <c r="H57" s="367" t="s">
        <v>230</v>
      </c>
    </row>
    <row r="58" spans="4:8" ht="15.75" thickBot="1" x14ac:dyDescent="0.3">
      <c r="D58" s="365" t="s">
        <v>211</v>
      </c>
      <c r="E58" s="366" t="s">
        <v>221</v>
      </c>
      <c r="F58" s="366" t="s">
        <v>231</v>
      </c>
      <c r="G58" s="367" t="s">
        <v>232</v>
      </c>
      <c r="H58" s="367" t="s">
        <v>233</v>
      </c>
    </row>
    <row r="59" spans="4:8" ht="15.75" thickBot="1" x14ac:dyDescent="0.3">
      <c r="D59" s="365" t="s">
        <v>211</v>
      </c>
      <c r="E59" s="366" t="s">
        <v>221</v>
      </c>
      <c r="F59" s="366" t="s">
        <v>234</v>
      </c>
      <c r="G59" s="367" t="s">
        <v>223</v>
      </c>
      <c r="H59" s="367" t="s">
        <v>235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25" t="s">
        <v>171</v>
      </c>
      <c r="B1" s="325" t="s">
        <v>172</v>
      </c>
      <c r="C1" s="325" t="s">
        <v>173</v>
      </c>
      <c r="D1" s="324" t="s">
        <v>77</v>
      </c>
      <c r="E1" s="326" t="s">
        <v>82</v>
      </c>
      <c r="F1" s="324" t="s">
        <v>83</v>
      </c>
      <c r="G1" s="324" t="s">
        <v>78</v>
      </c>
      <c r="H1" s="324" t="s">
        <v>79</v>
      </c>
      <c r="I1" s="324" t="s">
        <v>174</v>
      </c>
      <c r="J1" s="324" t="s">
        <v>175</v>
      </c>
      <c r="K1" s="324"/>
      <c r="L1" s="324"/>
      <c r="M1" s="324" t="s">
        <v>176</v>
      </c>
      <c r="N1" s="324"/>
      <c r="O1" s="324"/>
      <c r="P1" s="324"/>
      <c r="Q1" s="324"/>
      <c r="R1" s="324"/>
    </row>
    <row r="2" spans="1:18" x14ac:dyDescent="0.25">
      <c r="A2" s="325"/>
      <c r="B2" s="325"/>
      <c r="C2" s="325"/>
      <c r="D2" s="324"/>
      <c r="E2" s="326"/>
      <c r="F2" s="324"/>
      <c r="G2" s="324"/>
      <c r="H2" s="324"/>
      <c r="I2" s="324"/>
      <c r="J2" s="324" t="s">
        <v>177</v>
      </c>
      <c r="K2" s="324"/>
      <c r="L2" s="324"/>
      <c r="M2" s="324" t="s">
        <v>177</v>
      </c>
      <c r="N2" s="324"/>
      <c r="O2" s="324"/>
      <c r="P2" s="324"/>
      <c r="Q2" s="324"/>
      <c r="R2" s="324"/>
    </row>
    <row r="3" spans="1:18" x14ac:dyDescent="0.25">
      <c r="A3" s="325"/>
      <c r="B3" s="325"/>
      <c r="C3" s="325"/>
      <c r="D3" s="324"/>
      <c r="E3" s="326"/>
      <c r="F3" s="324"/>
      <c r="G3" s="324"/>
      <c r="H3" s="324"/>
      <c r="I3" s="324"/>
      <c r="J3" s="178">
        <v>4420</v>
      </c>
      <c r="K3" s="178">
        <v>4300</v>
      </c>
      <c r="L3" s="179">
        <v>4430</v>
      </c>
      <c r="M3" s="178">
        <v>4428</v>
      </c>
      <c r="N3" s="178">
        <v>4429</v>
      </c>
      <c r="O3" s="178">
        <v>4308</v>
      </c>
      <c r="P3" s="178">
        <v>4309</v>
      </c>
      <c r="Q3" s="179">
        <v>4438</v>
      </c>
      <c r="R3" s="179">
        <v>4439</v>
      </c>
    </row>
    <row r="4" spans="1:18" x14ac:dyDescent="0.25">
      <c r="A4" s="327" t="s">
        <v>110</v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28"/>
      <c r="O4" s="328"/>
      <c r="P4" s="328"/>
      <c r="Q4" s="328"/>
      <c r="R4" s="329"/>
    </row>
    <row r="5" spans="1:18" ht="25.5" x14ac:dyDescent="0.25">
      <c r="A5" s="330" t="s">
        <v>178</v>
      </c>
      <c r="B5" s="331">
        <v>44446</v>
      </c>
      <c r="C5" s="332">
        <f>SUM(I5:I15)</f>
        <v>3377.1899999999996</v>
      </c>
      <c r="D5" s="180" t="s">
        <v>97</v>
      </c>
      <c r="E5" s="181" t="s">
        <v>96</v>
      </c>
      <c r="F5" s="182">
        <v>44455</v>
      </c>
      <c r="G5" s="183">
        <v>196.5</v>
      </c>
      <c r="H5" s="184" t="s">
        <v>179</v>
      </c>
      <c r="I5" s="185">
        <v>1092.93</v>
      </c>
      <c r="J5" s="186">
        <v>1092.93</v>
      </c>
      <c r="K5" s="187"/>
      <c r="L5" s="188"/>
      <c r="M5" s="186">
        <v>928.9905</v>
      </c>
      <c r="N5" s="186">
        <v>163.93950000000007</v>
      </c>
      <c r="O5" s="187"/>
      <c r="P5" s="187"/>
      <c r="Q5" s="180"/>
      <c r="R5" s="180"/>
    </row>
    <row r="6" spans="1:18" ht="25.5" x14ac:dyDescent="0.25">
      <c r="A6" s="330"/>
      <c r="B6" s="331"/>
      <c r="C6" s="332"/>
      <c r="D6" s="180" t="s">
        <v>94</v>
      </c>
      <c r="E6" s="181">
        <v>94100</v>
      </c>
      <c r="F6" s="182">
        <v>44455</v>
      </c>
      <c r="G6" s="183">
        <v>4</v>
      </c>
      <c r="H6" s="184" t="s">
        <v>179</v>
      </c>
      <c r="I6" s="185">
        <v>22.25</v>
      </c>
      <c r="J6" s="186">
        <v>22.25</v>
      </c>
      <c r="K6" s="187"/>
      <c r="L6" s="188"/>
      <c r="M6" s="186">
        <v>18.912499999999998</v>
      </c>
      <c r="N6" s="186">
        <v>3.3375000000000021</v>
      </c>
      <c r="O6" s="187"/>
      <c r="P6" s="187"/>
      <c r="Q6" s="180"/>
      <c r="R6" s="180"/>
    </row>
    <row r="7" spans="1:18" ht="38.25" x14ac:dyDescent="0.25">
      <c r="A7" s="330"/>
      <c r="B7" s="331"/>
      <c r="C7" s="332"/>
      <c r="D7" s="180" t="s">
        <v>103</v>
      </c>
      <c r="E7" s="181">
        <v>159918</v>
      </c>
      <c r="F7" s="182">
        <v>44453</v>
      </c>
      <c r="G7" s="183">
        <v>150</v>
      </c>
      <c r="H7" s="184" t="s">
        <v>179</v>
      </c>
      <c r="I7" s="185">
        <v>834.3</v>
      </c>
      <c r="J7" s="186">
        <v>834.3</v>
      </c>
      <c r="K7" s="187"/>
      <c r="L7" s="188"/>
      <c r="M7" s="186">
        <v>709.15499999999997</v>
      </c>
      <c r="N7" s="186">
        <v>125.14499999999998</v>
      </c>
      <c r="O7" s="187"/>
      <c r="P7" s="187"/>
      <c r="Q7" s="180"/>
      <c r="R7" s="180"/>
    </row>
    <row r="8" spans="1:18" ht="51" x14ac:dyDescent="0.25">
      <c r="A8" s="330"/>
      <c r="B8" s="331"/>
      <c r="C8" s="332"/>
      <c r="D8" s="180" t="s">
        <v>95</v>
      </c>
      <c r="E8" s="181" t="s">
        <v>128</v>
      </c>
      <c r="F8" s="182">
        <v>44445</v>
      </c>
      <c r="G8" s="183">
        <v>70.66</v>
      </c>
      <c r="H8" s="184" t="s">
        <v>179</v>
      </c>
      <c r="I8" s="185">
        <v>393.01</v>
      </c>
      <c r="J8" s="186">
        <v>393.01</v>
      </c>
      <c r="K8" s="187"/>
      <c r="L8" s="188"/>
      <c r="M8" s="186">
        <v>334.05849999999998</v>
      </c>
      <c r="N8" s="186">
        <v>58.95150000000001</v>
      </c>
      <c r="O8" s="187"/>
      <c r="P8" s="187"/>
      <c r="Q8" s="180"/>
      <c r="R8" s="180"/>
    </row>
    <row r="9" spans="1:18" ht="25.5" x14ac:dyDescent="0.25">
      <c r="A9" s="330"/>
      <c r="B9" s="331"/>
      <c r="C9" s="332"/>
      <c r="D9" s="180" t="s">
        <v>87</v>
      </c>
      <c r="E9" s="181">
        <v>620785004091</v>
      </c>
      <c r="F9" s="182">
        <v>44452</v>
      </c>
      <c r="G9" s="183">
        <v>43.75</v>
      </c>
      <c r="H9" s="189" t="s">
        <v>84</v>
      </c>
      <c r="I9" s="186">
        <v>43.75</v>
      </c>
      <c r="J9" s="186">
        <v>43.75</v>
      </c>
      <c r="K9" s="187"/>
      <c r="L9" s="188"/>
      <c r="M9" s="186">
        <v>37.1875</v>
      </c>
      <c r="N9" s="186">
        <v>6.5625</v>
      </c>
      <c r="O9" s="187"/>
      <c r="P9" s="187"/>
      <c r="Q9" s="180"/>
      <c r="R9" s="180"/>
    </row>
    <row r="10" spans="1:18" ht="25.5" x14ac:dyDescent="0.25">
      <c r="A10" s="330"/>
      <c r="B10" s="331"/>
      <c r="C10" s="332"/>
      <c r="D10" s="180" t="s">
        <v>91</v>
      </c>
      <c r="E10" s="181">
        <v>101320211722073</v>
      </c>
      <c r="F10" s="182">
        <v>44456</v>
      </c>
      <c r="G10" s="183">
        <v>12</v>
      </c>
      <c r="H10" s="189" t="s">
        <v>80</v>
      </c>
      <c r="I10" s="186">
        <v>12</v>
      </c>
      <c r="J10" s="186">
        <v>12</v>
      </c>
      <c r="K10" s="187"/>
      <c r="L10" s="188"/>
      <c r="M10" s="186">
        <v>10.199999999999999</v>
      </c>
      <c r="N10" s="186">
        <v>1.8000000000000007</v>
      </c>
      <c r="O10" s="187"/>
      <c r="P10" s="187"/>
      <c r="Q10" s="180"/>
      <c r="R10" s="180"/>
    </row>
    <row r="11" spans="1:18" ht="25.5" x14ac:dyDescent="0.25">
      <c r="A11" s="330"/>
      <c r="B11" s="331"/>
      <c r="C11" s="332"/>
      <c r="D11" s="180" t="s">
        <v>90</v>
      </c>
      <c r="E11" s="181" t="s">
        <v>180</v>
      </c>
      <c r="F11" s="182">
        <v>44456</v>
      </c>
      <c r="G11" s="183">
        <v>30</v>
      </c>
      <c r="H11" s="189" t="s">
        <v>80</v>
      </c>
      <c r="I11" s="186">
        <v>30</v>
      </c>
      <c r="J11" s="186">
        <v>30</v>
      </c>
      <c r="K11" s="187"/>
      <c r="L11" s="188"/>
      <c r="M11" s="186">
        <v>25.5</v>
      </c>
      <c r="N11" s="186">
        <v>4.5</v>
      </c>
      <c r="O11" s="187"/>
      <c r="P11" s="187"/>
      <c r="Q11" s="180"/>
      <c r="R11" s="180"/>
    </row>
    <row r="12" spans="1:18" ht="25.5" x14ac:dyDescent="0.25">
      <c r="A12" s="330"/>
      <c r="B12" s="331"/>
      <c r="C12" s="332"/>
      <c r="D12" s="180" t="s">
        <v>106</v>
      </c>
      <c r="E12" s="181" t="s">
        <v>107</v>
      </c>
      <c r="F12" s="182">
        <v>44460</v>
      </c>
      <c r="G12" s="183">
        <v>130</v>
      </c>
      <c r="H12" s="189" t="s">
        <v>80</v>
      </c>
      <c r="I12" s="186">
        <v>130</v>
      </c>
      <c r="J12" s="186">
        <v>130</v>
      </c>
      <c r="K12" s="187"/>
      <c r="L12" s="188"/>
      <c r="M12" s="186">
        <v>110.5</v>
      </c>
      <c r="N12" s="186">
        <v>19.5</v>
      </c>
      <c r="O12" s="187"/>
      <c r="P12" s="187"/>
      <c r="Q12" s="180"/>
      <c r="R12" s="180"/>
    </row>
    <row r="13" spans="1:18" ht="25.5" x14ac:dyDescent="0.25">
      <c r="A13" s="330"/>
      <c r="B13" s="331"/>
      <c r="C13" s="332"/>
      <c r="D13" s="180" t="s">
        <v>100</v>
      </c>
      <c r="E13" s="181" t="s">
        <v>101</v>
      </c>
      <c r="F13" s="182">
        <v>44452</v>
      </c>
      <c r="G13" s="183">
        <v>50</v>
      </c>
      <c r="H13" s="189" t="s">
        <v>80</v>
      </c>
      <c r="I13" s="186">
        <v>50</v>
      </c>
      <c r="J13" s="186">
        <v>50</v>
      </c>
      <c r="K13" s="187"/>
      <c r="L13" s="188"/>
      <c r="M13" s="186">
        <v>42.5</v>
      </c>
      <c r="N13" s="186">
        <v>7.5</v>
      </c>
      <c r="O13" s="187"/>
      <c r="P13" s="187"/>
      <c r="Q13" s="180"/>
      <c r="R13" s="180"/>
    </row>
    <row r="14" spans="1:18" x14ac:dyDescent="0.25">
      <c r="A14" s="330"/>
      <c r="B14" s="331"/>
      <c r="C14" s="332"/>
      <c r="D14" s="180" t="s">
        <v>181</v>
      </c>
      <c r="E14" s="181"/>
      <c r="F14" s="182"/>
      <c r="G14" s="183">
        <v>124.25</v>
      </c>
      <c r="H14" s="184" t="s">
        <v>179</v>
      </c>
      <c r="I14" s="185">
        <v>691.08</v>
      </c>
      <c r="J14" s="186">
        <v>691.08</v>
      </c>
      <c r="K14" s="187"/>
      <c r="L14" s="188"/>
      <c r="M14" s="186">
        <v>587.41800000000001</v>
      </c>
      <c r="N14" s="186">
        <v>103.66200000000003</v>
      </c>
      <c r="O14" s="187"/>
      <c r="P14" s="187"/>
      <c r="Q14" s="180"/>
      <c r="R14" s="180"/>
    </row>
    <row r="15" spans="1:18" x14ac:dyDescent="0.25">
      <c r="A15" s="330"/>
      <c r="B15" s="331"/>
      <c r="C15" s="332"/>
      <c r="D15" s="180" t="s">
        <v>182</v>
      </c>
      <c r="E15" s="181"/>
      <c r="F15" s="182"/>
      <c r="G15" s="183">
        <v>14</v>
      </c>
      <c r="H15" s="184" t="s">
        <v>179</v>
      </c>
      <c r="I15" s="185">
        <v>77.87</v>
      </c>
      <c r="J15" s="186">
        <v>77.87</v>
      </c>
      <c r="K15" s="187"/>
      <c r="L15" s="188"/>
      <c r="M15" s="186">
        <v>66.189499999999995</v>
      </c>
      <c r="N15" s="186">
        <v>11.680500000000009</v>
      </c>
      <c r="O15" s="187"/>
      <c r="P15" s="187"/>
      <c r="Q15" s="180"/>
      <c r="R15" s="180"/>
    </row>
    <row r="16" spans="1:18" ht="25.5" x14ac:dyDescent="0.25">
      <c r="A16" s="330" t="s">
        <v>183</v>
      </c>
      <c r="B16" s="331">
        <v>44446</v>
      </c>
      <c r="C16" s="332">
        <f>SUM(I16:I24)</f>
        <v>2116.5099999999998</v>
      </c>
      <c r="D16" s="180" t="s">
        <v>93</v>
      </c>
      <c r="E16" s="181">
        <v>94099</v>
      </c>
      <c r="F16" s="182">
        <v>44455</v>
      </c>
      <c r="G16" s="183">
        <v>4</v>
      </c>
      <c r="H16" s="190" t="s">
        <v>179</v>
      </c>
      <c r="I16" s="191">
        <v>22.25</v>
      </c>
      <c r="J16" s="183">
        <v>22.25</v>
      </c>
      <c r="K16" s="187"/>
      <c r="L16" s="188"/>
      <c r="M16" s="186">
        <v>18.912499999999998</v>
      </c>
      <c r="N16" s="186">
        <v>3.3375000000000021</v>
      </c>
      <c r="O16" s="187"/>
      <c r="P16" s="187"/>
      <c r="Q16" s="180"/>
      <c r="R16" s="180"/>
    </row>
    <row r="17" spans="1:18" ht="25.5" x14ac:dyDescent="0.25">
      <c r="A17" s="330"/>
      <c r="B17" s="331"/>
      <c r="C17" s="332"/>
      <c r="D17" s="180" t="s">
        <v>92</v>
      </c>
      <c r="E17" s="181">
        <v>101320211722074</v>
      </c>
      <c r="F17" s="182">
        <v>44456</v>
      </c>
      <c r="G17" s="183">
        <v>12</v>
      </c>
      <c r="H17" s="192" t="s">
        <v>80</v>
      </c>
      <c r="I17" s="191">
        <v>12</v>
      </c>
      <c r="J17" s="183">
        <v>12</v>
      </c>
      <c r="K17" s="187"/>
      <c r="L17" s="188"/>
      <c r="M17" s="186">
        <v>10.199999999999999</v>
      </c>
      <c r="N17" s="186">
        <v>1.8000000000000007</v>
      </c>
      <c r="O17" s="187"/>
      <c r="P17" s="187"/>
      <c r="Q17" s="180"/>
      <c r="R17" s="180"/>
    </row>
    <row r="18" spans="1:18" ht="25.5" x14ac:dyDescent="0.25">
      <c r="A18" s="330"/>
      <c r="B18" s="331"/>
      <c r="C18" s="332"/>
      <c r="D18" s="180" t="s">
        <v>99</v>
      </c>
      <c r="E18" s="181" t="s">
        <v>98</v>
      </c>
      <c r="F18" s="182">
        <v>44455</v>
      </c>
      <c r="G18" s="183">
        <v>190.5</v>
      </c>
      <c r="H18" s="190" t="s">
        <v>179</v>
      </c>
      <c r="I18" s="191">
        <v>1059.56</v>
      </c>
      <c r="J18" s="183">
        <v>1059.56</v>
      </c>
      <c r="K18" s="187"/>
      <c r="L18" s="188"/>
      <c r="M18" s="186">
        <v>900.62599999999998</v>
      </c>
      <c r="N18" s="186">
        <v>158.93399999999997</v>
      </c>
      <c r="O18" s="187"/>
      <c r="P18" s="187"/>
      <c r="Q18" s="180"/>
      <c r="R18" s="180"/>
    </row>
    <row r="19" spans="1:18" ht="25.5" x14ac:dyDescent="0.25">
      <c r="A19" s="330"/>
      <c r="B19" s="331"/>
      <c r="C19" s="332"/>
      <c r="D19" s="180" t="s">
        <v>86</v>
      </c>
      <c r="E19" s="193" t="s">
        <v>85</v>
      </c>
      <c r="F19" s="182">
        <v>44452</v>
      </c>
      <c r="G19" s="183">
        <v>43.75</v>
      </c>
      <c r="H19" s="192" t="s">
        <v>80</v>
      </c>
      <c r="I19" s="191">
        <v>43.75</v>
      </c>
      <c r="J19" s="183">
        <v>43.75</v>
      </c>
      <c r="K19" s="187"/>
      <c r="L19" s="188"/>
      <c r="M19" s="186">
        <v>37.1875</v>
      </c>
      <c r="N19" s="186">
        <v>6.5625</v>
      </c>
      <c r="O19" s="187"/>
      <c r="P19" s="187"/>
      <c r="Q19" s="180"/>
      <c r="R19" s="180"/>
    </row>
    <row r="20" spans="1:18" ht="25.5" x14ac:dyDescent="0.25">
      <c r="A20" s="330"/>
      <c r="B20" s="331"/>
      <c r="C20" s="332"/>
      <c r="D20" s="180" t="s">
        <v>89</v>
      </c>
      <c r="E20" s="181" t="s">
        <v>88</v>
      </c>
      <c r="F20" s="182">
        <v>44456</v>
      </c>
      <c r="G20" s="183">
        <v>30</v>
      </c>
      <c r="H20" s="192" t="s">
        <v>80</v>
      </c>
      <c r="I20" s="191">
        <v>30</v>
      </c>
      <c r="J20" s="183">
        <v>30</v>
      </c>
      <c r="K20" s="187"/>
      <c r="L20" s="188"/>
      <c r="M20" s="186">
        <v>25.5</v>
      </c>
      <c r="N20" s="186">
        <v>4.5</v>
      </c>
      <c r="O20" s="187"/>
      <c r="P20" s="187"/>
      <c r="Q20" s="180"/>
      <c r="R20" s="180"/>
    </row>
    <row r="21" spans="1:18" ht="25.5" x14ac:dyDescent="0.25">
      <c r="A21" s="330"/>
      <c r="B21" s="331"/>
      <c r="C21" s="332"/>
      <c r="D21" s="180" t="s">
        <v>104</v>
      </c>
      <c r="E21" s="181" t="s">
        <v>105</v>
      </c>
      <c r="F21" s="182">
        <v>44460</v>
      </c>
      <c r="G21" s="183">
        <v>130</v>
      </c>
      <c r="H21" s="192" t="s">
        <v>80</v>
      </c>
      <c r="I21" s="183">
        <v>130</v>
      </c>
      <c r="J21" s="183">
        <v>130</v>
      </c>
      <c r="K21" s="194"/>
      <c r="L21" s="195"/>
      <c r="M21" s="186">
        <v>110.5</v>
      </c>
      <c r="N21" s="186">
        <v>19.5</v>
      </c>
      <c r="O21" s="194"/>
      <c r="P21" s="194"/>
      <c r="Q21" s="196"/>
      <c r="R21" s="196"/>
    </row>
    <row r="22" spans="1:18" ht="25.5" x14ac:dyDescent="0.25">
      <c r="A22" s="330"/>
      <c r="B22" s="331"/>
      <c r="C22" s="332"/>
      <c r="D22" s="180" t="s">
        <v>100</v>
      </c>
      <c r="E22" s="181" t="s">
        <v>102</v>
      </c>
      <c r="F22" s="182">
        <v>44452</v>
      </c>
      <c r="G22" s="183">
        <v>50</v>
      </c>
      <c r="H22" s="192" t="s">
        <v>80</v>
      </c>
      <c r="I22" s="183">
        <v>50</v>
      </c>
      <c r="J22" s="183">
        <v>50</v>
      </c>
      <c r="K22" s="194"/>
      <c r="L22" s="195"/>
      <c r="M22" s="186">
        <v>42.5</v>
      </c>
      <c r="N22" s="186">
        <v>7.5</v>
      </c>
      <c r="O22" s="194"/>
      <c r="P22" s="194"/>
      <c r="Q22" s="196"/>
      <c r="R22" s="196"/>
    </row>
    <row r="23" spans="1:18" x14ac:dyDescent="0.25">
      <c r="A23" s="330"/>
      <c r="B23" s="331"/>
      <c r="C23" s="332"/>
      <c r="D23" s="180" t="s">
        <v>181</v>
      </c>
      <c r="E23" s="181"/>
      <c r="F23" s="182"/>
      <c r="G23" s="183">
        <v>124.25</v>
      </c>
      <c r="H23" s="190" t="s">
        <v>179</v>
      </c>
      <c r="I23" s="191">
        <v>691.08</v>
      </c>
      <c r="J23" s="183">
        <v>691.08</v>
      </c>
      <c r="K23" s="194"/>
      <c r="L23" s="195"/>
      <c r="M23" s="186">
        <v>587.41800000000001</v>
      </c>
      <c r="N23" s="186">
        <v>103.66200000000003</v>
      </c>
      <c r="O23" s="194"/>
      <c r="P23" s="194"/>
      <c r="Q23" s="196"/>
      <c r="R23" s="196"/>
    </row>
    <row r="24" spans="1:18" x14ac:dyDescent="0.25">
      <c r="A24" s="330"/>
      <c r="B24" s="331"/>
      <c r="C24" s="332"/>
      <c r="D24" s="180" t="s">
        <v>182</v>
      </c>
      <c r="E24" s="181"/>
      <c r="F24" s="182"/>
      <c r="G24" s="183">
        <v>14</v>
      </c>
      <c r="H24" s="190" t="s">
        <v>179</v>
      </c>
      <c r="I24" s="191">
        <v>77.87</v>
      </c>
      <c r="J24" s="183">
        <v>77.87</v>
      </c>
      <c r="K24" s="194"/>
      <c r="L24" s="195"/>
      <c r="M24" s="186">
        <v>66.189499999999995</v>
      </c>
      <c r="N24" s="186">
        <v>11.680500000000009</v>
      </c>
      <c r="O24" s="194"/>
      <c r="P24" s="194"/>
      <c r="Q24" s="196"/>
      <c r="R24" s="196"/>
    </row>
    <row r="25" spans="1:18" ht="51" x14ac:dyDescent="0.25">
      <c r="A25" s="197" t="s">
        <v>184</v>
      </c>
      <c r="B25" s="182">
        <v>44459</v>
      </c>
      <c r="C25" s="198">
        <v>942.98</v>
      </c>
      <c r="D25" s="180" t="s">
        <v>109</v>
      </c>
      <c r="E25" s="181" t="s">
        <v>108</v>
      </c>
      <c r="F25" s="182">
        <v>44459</v>
      </c>
      <c r="G25" s="187">
        <v>942.98</v>
      </c>
      <c r="H25" s="189" t="s">
        <v>80</v>
      </c>
      <c r="I25" s="194">
        <v>942.98</v>
      </c>
      <c r="J25" s="194"/>
      <c r="K25" s="194">
        <v>942.98</v>
      </c>
      <c r="L25" s="195"/>
      <c r="M25" s="194"/>
      <c r="N25" s="194"/>
      <c r="O25" s="186">
        <v>801.53300000000002</v>
      </c>
      <c r="P25" s="186">
        <v>141.447</v>
      </c>
      <c r="Q25" s="196"/>
      <c r="R25" s="196"/>
    </row>
    <row r="26" spans="1:18" x14ac:dyDescent="0.25">
      <c r="A26" s="327" t="s">
        <v>81</v>
      </c>
      <c r="B26" s="328"/>
      <c r="C26" s="328"/>
      <c r="D26" s="328"/>
      <c r="E26" s="328"/>
      <c r="F26" s="328"/>
      <c r="G26" s="328"/>
      <c r="H26" s="328"/>
      <c r="I26" s="328"/>
      <c r="J26" s="328"/>
      <c r="K26" s="328"/>
      <c r="L26" s="328"/>
      <c r="M26" s="328"/>
      <c r="N26" s="328"/>
      <c r="O26" s="328"/>
      <c r="P26" s="328"/>
      <c r="Q26" s="328"/>
      <c r="R26" s="329"/>
    </row>
    <row r="27" spans="1:18" ht="38.25" x14ac:dyDescent="0.25">
      <c r="A27" s="330" t="s">
        <v>185</v>
      </c>
      <c r="B27" s="334">
        <v>44516</v>
      </c>
      <c r="C27" s="335">
        <f>SUM(I27:I31)</f>
        <v>1929.6600000000003</v>
      </c>
      <c r="D27" s="199" t="s">
        <v>124</v>
      </c>
      <c r="E27" s="200" t="s">
        <v>125</v>
      </c>
      <c r="F27" s="201">
        <v>44524</v>
      </c>
      <c r="G27" s="202">
        <v>680</v>
      </c>
      <c r="H27" s="203" t="s">
        <v>112</v>
      </c>
      <c r="I27" s="204">
        <v>440.56</v>
      </c>
      <c r="J27" s="205">
        <v>440.56</v>
      </c>
      <c r="K27" s="205"/>
      <c r="L27" s="205"/>
      <c r="M27" s="186">
        <v>374.476</v>
      </c>
      <c r="N27" s="186">
        <v>66.084000000000003</v>
      </c>
      <c r="O27" s="205"/>
      <c r="P27" s="205"/>
      <c r="Q27" s="196"/>
      <c r="R27" s="196"/>
    </row>
    <row r="28" spans="1:18" ht="38.25" x14ac:dyDescent="0.25">
      <c r="A28" s="330"/>
      <c r="B28" s="334"/>
      <c r="C28" s="336"/>
      <c r="D28" s="206" t="s">
        <v>119</v>
      </c>
      <c r="E28" s="207" t="s">
        <v>120</v>
      </c>
      <c r="F28" s="208">
        <v>44525</v>
      </c>
      <c r="G28" s="209">
        <v>981.15</v>
      </c>
      <c r="H28" s="210" t="s">
        <v>112</v>
      </c>
      <c r="I28" s="204">
        <v>635.66</v>
      </c>
      <c r="J28" s="205">
        <v>635.66</v>
      </c>
      <c r="K28" s="205"/>
      <c r="L28" s="205"/>
      <c r="M28" s="186">
        <v>540.31099999999992</v>
      </c>
      <c r="N28" s="186">
        <v>95.349000000000046</v>
      </c>
      <c r="O28" s="205"/>
      <c r="P28" s="205"/>
      <c r="Q28" s="196"/>
      <c r="R28" s="196"/>
    </row>
    <row r="29" spans="1:18" ht="38.25" x14ac:dyDescent="0.25">
      <c r="A29" s="330"/>
      <c r="B29" s="334"/>
      <c r="C29" s="336"/>
      <c r="D29" s="206" t="s">
        <v>117</v>
      </c>
      <c r="E29" s="207" t="s">
        <v>118</v>
      </c>
      <c r="F29" s="208">
        <v>44524</v>
      </c>
      <c r="G29" s="209">
        <v>400</v>
      </c>
      <c r="H29" s="210" t="s">
        <v>112</v>
      </c>
      <c r="I29" s="204">
        <v>259.16000000000003</v>
      </c>
      <c r="J29" s="205">
        <v>259.16000000000003</v>
      </c>
      <c r="K29" s="205"/>
      <c r="L29" s="205"/>
      <c r="M29" s="186">
        <v>220.286</v>
      </c>
      <c r="N29" s="186">
        <v>38.874000000000024</v>
      </c>
      <c r="O29" s="205"/>
      <c r="P29" s="205"/>
      <c r="Q29" s="196"/>
      <c r="R29" s="196"/>
    </row>
    <row r="30" spans="1:18" ht="38.25" x14ac:dyDescent="0.25">
      <c r="A30" s="330"/>
      <c r="B30" s="334"/>
      <c r="C30" s="336"/>
      <c r="D30" s="180" t="s">
        <v>111</v>
      </c>
      <c r="E30" s="181">
        <v>333056419474</v>
      </c>
      <c r="F30" s="182">
        <v>44525</v>
      </c>
      <c r="G30" s="211">
        <v>6</v>
      </c>
      <c r="H30" s="210" t="s">
        <v>112</v>
      </c>
      <c r="I30" s="204">
        <v>3.9</v>
      </c>
      <c r="J30" s="205">
        <v>3.9</v>
      </c>
      <c r="K30" s="205"/>
      <c r="L30" s="205"/>
      <c r="M30" s="186">
        <v>3.3149999999999999</v>
      </c>
      <c r="N30" s="186">
        <v>0.58499999999999996</v>
      </c>
      <c r="O30" s="205"/>
      <c r="P30" s="205"/>
      <c r="Q30" s="196"/>
      <c r="R30" s="196"/>
    </row>
    <row r="31" spans="1:18" x14ac:dyDescent="0.25">
      <c r="A31" s="330"/>
      <c r="B31" s="334"/>
      <c r="C31" s="336"/>
      <c r="D31" s="180" t="s">
        <v>181</v>
      </c>
      <c r="E31" s="212"/>
      <c r="F31" s="212"/>
      <c r="G31" s="205">
        <v>121.1</v>
      </c>
      <c r="H31" s="192" t="s">
        <v>186</v>
      </c>
      <c r="I31" s="204">
        <v>590.38</v>
      </c>
      <c r="J31" s="205">
        <v>590.38</v>
      </c>
      <c r="K31" s="205"/>
      <c r="L31" s="205"/>
      <c r="M31" s="186">
        <v>501.82299999999998</v>
      </c>
      <c r="N31" s="186">
        <v>88.557000000000016</v>
      </c>
      <c r="O31" s="205"/>
      <c r="P31" s="205"/>
      <c r="Q31" s="196"/>
      <c r="R31" s="196"/>
    </row>
    <row r="32" spans="1:18" ht="38.25" x14ac:dyDescent="0.25">
      <c r="A32" s="330" t="s">
        <v>185</v>
      </c>
      <c r="B32" s="334">
        <v>44516</v>
      </c>
      <c r="C32" s="335">
        <f>SUM(I32:I35)</f>
        <v>1294</v>
      </c>
      <c r="D32" s="199" t="s">
        <v>127</v>
      </c>
      <c r="E32" s="200" t="s">
        <v>126</v>
      </c>
      <c r="F32" s="201">
        <v>44524</v>
      </c>
      <c r="G32" s="202">
        <v>680</v>
      </c>
      <c r="H32" s="203" t="s">
        <v>112</v>
      </c>
      <c r="I32" s="204">
        <v>440.56</v>
      </c>
      <c r="J32" s="202">
        <v>440.56</v>
      </c>
      <c r="K32" s="205"/>
      <c r="L32" s="205"/>
      <c r="M32" s="186">
        <v>374.476</v>
      </c>
      <c r="N32" s="186">
        <v>66.084000000000003</v>
      </c>
      <c r="O32" s="205"/>
      <c r="P32" s="205"/>
      <c r="Q32" s="196"/>
      <c r="R32" s="196"/>
    </row>
    <row r="33" spans="1:18" ht="38.25" x14ac:dyDescent="0.25">
      <c r="A33" s="330"/>
      <c r="B33" s="334"/>
      <c r="C33" s="336"/>
      <c r="D33" s="206" t="s">
        <v>114</v>
      </c>
      <c r="E33" s="207" t="s">
        <v>115</v>
      </c>
      <c r="F33" s="208">
        <v>44524</v>
      </c>
      <c r="G33" s="209" t="s">
        <v>116</v>
      </c>
      <c r="H33" s="210" t="s">
        <v>112</v>
      </c>
      <c r="I33" s="204">
        <v>259.16000000000003</v>
      </c>
      <c r="J33" s="202">
        <v>259.16000000000003</v>
      </c>
      <c r="K33" s="205"/>
      <c r="L33" s="205"/>
      <c r="M33" s="186">
        <v>220.286</v>
      </c>
      <c r="N33" s="186">
        <v>38.874000000000024</v>
      </c>
      <c r="O33" s="205"/>
      <c r="P33" s="205"/>
      <c r="Q33" s="196"/>
      <c r="R33" s="196"/>
    </row>
    <row r="34" spans="1:18" ht="38.25" x14ac:dyDescent="0.25">
      <c r="A34" s="330"/>
      <c r="B34" s="334"/>
      <c r="C34" s="336"/>
      <c r="D34" s="206" t="s">
        <v>113</v>
      </c>
      <c r="E34" s="181">
        <v>333056419480</v>
      </c>
      <c r="F34" s="182">
        <v>44525</v>
      </c>
      <c r="G34" s="211">
        <v>6</v>
      </c>
      <c r="H34" s="210" t="s">
        <v>112</v>
      </c>
      <c r="I34" s="204">
        <v>3.9</v>
      </c>
      <c r="J34" s="202">
        <v>3.9</v>
      </c>
      <c r="K34" s="209"/>
      <c r="L34" s="209"/>
      <c r="M34" s="186">
        <v>3.3149999999999999</v>
      </c>
      <c r="N34" s="186">
        <v>0.58499999999999996</v>
      </c>
      <c r="O34" s="209"/>
      <c r="P34" s="209"/>
      <c r="Q34" s="196"/>
      <c r="R34" s="196"/>
    </row>
    <row r="35" spans="1:18" x14ac:dyDescent="0.25">
      <c r="A35" s="330"/>
      <c r="B35" s="334"/>
      <c r="C35" s="336"/>
      <c r="D35" s="180" t="s">
        <v>181</v>
      </c>
      <c r="E35" s="213"/>
      <c r="F35" s="214"/>
      <c r="G35" s="202">
        <v>121.1</v>
      </c>
      <c r="H35" s="214" t="s">
        <v>186</v>
      </c>
      <c r="I35" s="204">
        <v>590.38</v>
      </c>
      <c r="J35" s="202">
        <v>590.38</v>
      </c>
      <c r="K35" s="209"/>
      <c r="L35" s="209"/>
      <c r="M35" s="186">
        <v>501.82299999999998</v>
      </c>
      <c r="N35" s="186">
        <v>88.557000000000016</v>
      </c>
      <c r="O35" s="209"/>
      <c r="P35" s="209"/>
      <c r="Q35" s="196"/>
      <c r="R35" s="196"/>
    </row>
    <row r="36" spans="1:18" ht="38.25" x14ac:dyDescent="0.25">
      <c r="A36" s="197" t="s">
        <v>187</v>
      </c>
      <c r="B36" s="215">
        <v>44510</v>
      </c>
      <c r="C36" s="216">
        <v>2022.28</v>
      </c>
      <c r="D36" s="217" t="s">
        <v>122</v>
      </c>
      <c r="E36" s="218" t="s">
        <v>121</v>
      </c>
      <c r="F36" s="201">
        <v>44510</v>
      </c>
      <c r="G36" s="219">
        <v>2022.28</v>
      </c>
      <c r="H36" s="189" t="s">
        <v>80</v>
      </c>
      <c r="I36" s="202">
        <v>2022.28</v>
      </c>
      <c r="J36" s="202"/>
      <c r="K36" s="209">
        <v>2022.28</v>
      </c>
      <c r="L36" s="209"/>
      <c r="M36" s="202"/>
      <c r="N36" s="202"/>
      <c r="O36" s="186">
        <v>1718.9379999999999</v>
      </c>
      <c r="P36" s="186">
        <v>303.3420000000001</v>
      </c>
      <c r="Q36" s="196"/>
      <c r="R36" s="196"/>
    </row>
    <row r="37" spans="1:18" ht="38.25" x14ac:dyDescent="0.25">
      <c r="A37" s="206" t="s">
        <v>188</v>
      </c>
      <c r="B37" s="208">
        <v>44518</v>
      </c>
      <c r="C37" s="220">
        <v>40.799999999999997</v>
      </c>
      <c r="D37" s="217" t="s">
        <v>123</v>
      </c>
      <c r="E37" s="221">
        <v>1066369367</v>
      </c>
      <c r="F37" s="201">
        <v>44522</v>
      </c>
      <c r="G37" s="219">
        <v>40.799999999999997</v>
      </c>
      <c r="H37" s="189" t="s">
        <v>80</v>
      </c>
      <c r="I37" s="202">
        <v>40.799999999999997</v>
      </c>
      <c r="J37" s="202"/>
      <c r="K37" s="209"/>
      <c r="L37" s="209">
        <v>40.799999999999997</v>
      </c>
      <c r="M37" s="202"/>
      <c r="N37" s="202"/>
      <c r="O37" s="209"/>
      <c r="P37" s="209"/>
      <c r="Q37" s="186">
        <v>34.68</v>
      </c>
      <c r="R37" s="186">
        <v>6.1199999999999974</v>
      </c>
    </row>
    <row r="38" spans="1:18" x14ac:dyDescent="0.25">
      <c r="A38" s="333" t="s">
        <v>189</v>
      </c>
      <c r="B38" s="333"/>
      <c r="C38" s="333"/>
      <c r="D38" s="333"/>
      <c r="E38" s="333"/>
      <c r="F38" s="333"/>
      <c r="G38" s="333"/>
      <c r="H38" s="333"/>
      <c r="I38" s="198">
        <f>SUM(I5:I37)</f>
        <v>11723.419999999998</v>
      </c>
      <c r="J38" s="198">
        <f t="shared" ref="J38:R38" si="0">SUM(J5:J37)</f>
        <v>8717.3599999999988</v>
      </c>
      <c r="K38" s="198">
        <f t="shared" si="0"/>
        <v>2965.26</v>
      </c>
      <c r="L38" s="198">
        <f t="shared" si="0"/>
        <v>40.799999999999997</v>
      </c>
      <c r="M38" s="198">
        <f t="shared" si="0"/>
        <v>7409.7559999999985</v>
      </c>
      <c r="N38" s="198">
        <f t="shared" si="0"/>
        <v>1307.6040000000003</v>
      </c>
      <c r="O38" s="198">
        <f t="shared" si="0"/>
        <v>2520.471</v>
      </c>
      <c r="P38" s="198">
        <f t="shared" si="0"/>
        <v>444.7890000000001</v>
      </c>
      <c r="Q38" s="198">
        <f t="shared" si="0"/>
        <v>34.68</v>
      </c>
      <c r="R38" s="198">
        <f t="shared" si="0"/>
        <v>6.1199999999999974</v>
      </c>
    </row>
  </sheetData>
  <mergeCells count="28">
    <mergeCell ref="A38:H38"/>
    <mergeCell ref="A26:R26"/>
    <mergeCell ref="A27:A31"/>
    <mergeCell ref="B27:B31"/>
    <mergeCell ref="C27:C31"/>
    <mergeCell ref="A32:A35"/>
    <mergeCell ref="B32:B35"/>
    <mergeCell ref="C32:C35"/>
    <mergeCell ref="A4:R4"/>
    <mergeCell ref="A5:A15"/>
    <mergeCell ref="B5:B15"/>
    <mergeCell ref="C5:C15"/>
    <mergeCell ref="A16:A24"/>
    <mergeCell ref="B16:B24"/>
    <mergeCell ref="C16:C24"/>
    <mergeCell ref="G1:G3"/>
    <mergeCell ref="H1:H3"/>
    <mergeCell ref="I1:I3"/>
    <mergeCell ref="J1:L1"/>
    <mergeCell ref="M1:R1"/>
    <mergeCell ref="J2:L2"/>
    <mergeCell ref="M2:R2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22" bestFit="1" customWidth="1"/>
    <col min="2" max="2" width="15.140625" style="222" bestFit="1" customWidth="1"/>
    <col min="3" max="3" width="9.140625" style="222"/>
    <col min="4" max="4" width="13.85546875" style="222" bestFit="1" customWidth="1"/>
    <col min="5" max="5" width="9.140625" style="222"/>
    <col min="6" max="6" width="10.5703125" style="222" bestFit="1" customWidth="1"/>
    <col min="7" max="18" width="9.140625" style="222"/>
    <col min="19" max="21" width="9.140625" style="227"/>
    <col min="22" max="16384" width="9.140625" style="222"/>
  </cols>
  <sheetData>
    <row r="1" spans="1:15" s="222" customFormat="1" ht="12.75" x14ac:dyDescent="0.2">
      <c r="A1" s="325" t="s">
        <v>171</v>
      </c>
      <c r="B1" s="325" t="s">
        <v>172</v>
      </c>
      <c r="C1" s="325" t="s">
        <v>173</v>
      </c>
      <c r="D1" s="324" t="s">
        <v>77</v>
      </c>
      <c r="E1" s="326" t="s">
        <v>82</v>
      </c>
      <c r="F1" s="324" t="s">
        <v>83</v>
      </c>
      <c r="G1" s="324" t="s">
        <v>78</v>
      </c>
      <c r="H1" s="324" t="s">
        <v>79</v>
      </c>
      <c r="I1" s="324" t="s">
        <v>174</v>
      </c>
      <c r="J1" s="324" t="s">
        <v>176</v>
      </c>
      <c r="K1" s="324"/>
      <c r="L1" s="324"/>
      <c r="M1" s="324"/>
      <c r="N1" s="324"/>
      <c r="O1" s="324"/>
    </row>
    <row r="2" spans="1:15" s="222" customFormat="1" ht="12.75" x14ac:dyDescent="0.2">
      <c r="A2" s="325"/>
      <c r="B2" s="325"/>
      <c r="C2" s="325"/>
      <c r="D2" s="324"/>
      <c r="E2" s="326"/>
      <c r="F2" s="324"/>
      <c r="G2" s="324"/>
      <c r="H2" s="324"/>
      <c r="I2" s="324"/>
      <c r="J2" s="324" t="s">
        <v>177</v>
      </c>
      <c r="K2" s="324"/>
      <c r="L2" s="324"/>
      <c r="M2" s="324"/>
      <c r="N2" s="324"/>
      <c r="O2" s="324"/>
    </row>
    <row r="3" spans="1:15" s="222" customFormat="1" ht="12.75" x14ac:dyDescent="0.2">
      <c r="A3" s="325"/>
      <c r="B3" s="325"/>
      <c r="C3" s="325"/>
      <c r="D3" s="324"/>
      <c r="E3" s="326"/>
      <c r="F3" s="324"/>
      <c r="G3" s="324"/>
      <c r="H3" s="324"/>
      <c r="I3" s="324"/>
      <c r="J3" s="178">
        <v>4428</v>
      </c>
      <c r="K3" s="178">
        <v>4429</v>
      </c>
      <c r="L3" s="178">
        <v>4308</v>
      </c>
      <c r="M3" s="178">
        <v>4309</v>
      </c>
      <c r="N3" s="179">
        <v>4438</v>
      </c>
      <c r="O3" s="179">
        <v>4439</v>
      </c>
    </row>
    <row r="4" spans="1:15" s="222" customFormat="1" ht="12.75" x14ac:dyDescent="0.2">
      <c r="A4" s="327" t="s">
        <v>190</v>
      </c>
      <c r="B4" s="328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28"/>
      <c r="O4" s="329"/>
    </row>
    <row r="5" spans="1:15" s="222" customFormat="1" ht="25.5" x14ac:dyDescent="0.2">
      <c r="A5" s="197" t="s">
        <v>191</v>
      </c>
      <c r="B5" s="182">
        <v>44636</v>
      </c>
      <c r="C5" s="223">
        <v>1857</v>
      </c>
      <c r="D5" s="180" t="s">
        <v>192</v>
      </c>
      <c r="E5" s="181" t="s">
        <v>96</v>
      </c>
      <c r="F5" s="182">
        <v>44636</v>
      </c>
      <c r="G5" s="183" t="s">
        <v>166</v>
      </c>
      <c r="H5" s="184"/>
      <c r="I5" s="223">
        <v>1857</v>
      </c>
      <c r="J5" s="186"/>
      <c r="K5" s="186"/>
      <c r="L5" s="187">
        <v>1593.75</v>
      </c>
      <c r="M5" s="187">
        <v>281.25</v>
      </c>
      <c r="N5" s="180"/>
      <c r="O5" s="180"/>
    </row>
    <row r="6" spans="1:15" s="222" customFormat="1" ht="12.75" x14ac:dyDescent="0.2">
      <c r="A6" s="327" t="s">
        <v>193</v>
      </c>
      <c r="B6" s="328"/>
      <c r="C6" s="328"/>
      <c r="D6" s="328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9"/>
    </row>
    <row r="7" spans="1:15" s="222" customFormat="1" ht="12.75" x14ac:dyDescent="0.2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</row>
    <row r="8" spans="1:15" s="222" customFormat="1" ht="12.75" x14ac:dyDescent="0.2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</row>
    <row r="9" spans="1:15" s="222" customFormat="1" ht="12.75" x14ac:dyDescent="0.2">
      <c r="A9" s="224"/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</row>
    <row r="10" spans="1:15" s="222" customFormat="1" ht="12.75" x14ac:dyDescent="0.2">
      <c r="A10" s="224"/>
      <c r="B10" s="224"/>
      <c r="C10" s="224"/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</row>
    <row r="11" spans="1:15" s="222" customFormat="1" ht="12.75" x14ac:dyDescent="0.2">
      <c r="A11" s="224"/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5" s="222" customFormat="1" ht="12.75" x14ac:dyDescent="0.2">
      <c r="A12" s="224"/>
      <c r="B12" s="224"/>
      <c r="C12" s="224"/>
      <c r="D12" s="224"/>
      <c r="E12" s="224"/>
      <c r="F12" s="224"/>
      <c r="G12" s="224"/>
      <c r="H12" s="224"/>
      <c r="I12" s="224"/>
      <c r="J12" s="224"/>
      <c r="K12" s="224"/>
      <c r="L12" s="224"/>
      <c r="M12" s="224"/>
      <c r="N12" s="224"/>
      <c r="O12" s="224"/>
    </row>
    <row r="13" spans="1:15" s="222" customFormat="1" ht="12.75" x14ac:dyDescent="0.2">
      <c r="A13" s="224"/>
      <c r="B13" s="224"/>
      <c r="C13" s="224"/>
      <c r="D13" s="224"/>
      <c r="E13" s="224"/>
      <c r="F13" s="224"/>
      <c r="G13" s="224"/>
      <c r="H13" s="224"/>
      <c r="I13" s="224"/>
      <c r="J13" s="224"/>
      <c r="K13" s="224"/>
      <c r="L13" s="224"/>
      <c r="M13" s="224"/>
      <c r="N13" s="224"/>
      <c r="O13" s="224"/>
    </row>
    <row r="14" spans="1:15" s="222" customFormat="1" ht="12.75" x14ac:dyDescent="0.2">
      <c r="A14" s="224"/>
      <c r="B14" s="224"/>
      <c r="C14" s="224"/>
      <c r="D14" s="224"/>
      <c r="E14" s="224"/>
      <c r="F14" s="224"/>
      <c r="G14" s="224"/>
      <c r="H14" s="224"/>
      <c r="I14" s="224"/>
      <c r="J14" s="224"/>
      <c r="K14" s="224"/>
      <c r="L14" s="224"/>
      <c r="M14" s="224"/>
      <c r="N14" s="224"/>
      <c r="O14" s="224"/>
    </row>
    <row r="15" spans="1:15" s="222" customFormat="1" ht="12.75" x14ac:dyDescent="0.2">
      <c r="A15" s="224"/>
      <c r="B15" s="224"/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</row>
    <row r="16" spans="1:15" s="222" customFormat="1" ht="12.75" x14ac:dyDescent="0.2">
      <c r="A16" s="224"/>
      <c r="B16" s="224"/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4"/>
      <c r="N16" s="224"/>
      <c r="O16" s="224"/>
    </row>
    <row r="17" spans="1:15" s="222" customFormat="1" ht="12.75" x14ac:dyDescent="0.2">
      <c r="A17" s="224"/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  <c r="M17" s="224"/>
      <c r="N17" s="224"/>
      <c r="O17" s="224"/>
    </row>
    <row r="18" spans="1:15" s="222" customFormat="1" ht="12.75" x14ac:dyDescent="0.2">
      <c r="A18" s="224"/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  <c r="M18" s="224"/>
      <c r="N18" s="224"/>
      <c r="O18" s="224"/>
    </row>
    <row r="19" spans="1:15" s="222" customFormat="1" ht="12.75" x14ac:dyDescent="0.2">
      <c r="A19" s="224"/>
      <c r="B19" s="224"/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4"/>
      <c r="N19" s="224"/>
      <c r="O19" s="224"/>
    </row>
    <row r="20" spans="1:15" s="222" customFormat="1" ht="12.75" x14ac:dyDescent="0.2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4"/>
      <c r="M20" s="224"/>
      <c r="N20" s="224"/>
      <c r="O20" s="224"/>
    </row>
    <row r="21" spans="1:15" s="222" customFormat="1" ht="12.7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</row>
    <row r="22" spans="1:15" s="222" customFormat="1" ht="12.7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</row>
    <row r="23" spans="1:15" s="222" customFormat="1" ht="12.75" x14ac:dyDescent="0.2">
      <c r="A23" s="197"/>
      <c r="B23" s="197"/>
      <c r="C23" s="197"/>
      <c r="D23" s="197"/>
      <c r="E23" s="197"/>
      <c r="F23" s="197"/>
      <c r="G23" s="197"/>
      <c r="H23" s="197"/>
      <c r="I23" s="223"/>
      <c r="J23" s="186"/>
      <c r="K23" s="186"/>
      <c r="L23" s="187"/>
      <c r="M23" s="187"/>
      <c r="N23" s="180"/>
      <c r="O23" s="180"/>
    </row>
    <row r="24" spans="1:15" s="222" customFormat="1" ht="12.75" x14ac:dyDescent="0.2">
      <c r="A24" s="337" t="s">
        <v>189</v>
      </c>
      <c r="B24" s="338"/>
      <c r="C24" s="338"/>
      <c r="D24" s="338"/>
      <c r="E24" s="338"/>
      <c r="F24" s="338"/>
      <c r="G24" s="338"/>
      <c r="H24" s="338"/>
      <c r="I24" s="339"/>
      <c r="J24" s="225"/>
      <c r="K24" s="225"/>
      <c r="L24" s="226">
        <f>SUM(L5)</f>
        <v>1593.75</v>
      </c>
      <c r="M24" s="226">
        <f>SUM(M5)</f>
        <v>281.25</v>
      </c>
      <c r="N24" s="225"/>
      <c r="O24" s="225"/>
    </row>
    <row r="25" spans="1:15" s="222" customFormat="1" ht="12.75" x14ac:dyDescent="0.2"/>
    <row r="26" spans="1:15" s="222" customFormat="1" ht="12.75" x14ac:dyDescent="0.2"/>
    <row r="27" spans="1:15" s="222" customFormat="1" ht="12.75" x14ac:dyDescent="0.2"/>
    <row r="28" spans="1:15" s="222" customFormat="1" ht="12.75" x14ac:dyDescent="0.2"/>
    <row r="29" spans="1:15" s="222" customFormat="1" ht="12.75" x14ac:dyDescent="0.2"/>
    <row r="30" spans="1:15" s="222" customFormat="1" ht="12.75" x14ac:dyDescent="0.2"/>
    <row r="31" spans="1:15" s="222" customFormat="1" ht="12.75" x14ac:dyDescent="0.2"/>
    <row r="32" spans="1:15" s="222" customFormat="1" ht="12.75" x14ac:dyDescent="0.2"/>
    <row r="33" s="222" customFormat="1" ht="12.75" x14ac:dyDescent="0.2"/>
    <row r="34" s="222" customFormat="1" ht="12.75" x14ac:dyDescent="0.2"/>
    <row r="35" s="22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TOTAL BUDGET</vt:lpstr>
      <vt:lpstr>PP1</vt:lpstr>
      <vt:lpstr>Zbiorczy</vt:lpstr>
      <vt:lpstr>Budżet </vt:lpstr>
      <vt:lpstr>Arkusz1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Jarosz Wojciech</cp:lastModifiedBy>
  <cp:lastPrinted>2022-05-24T08:01:30Z</cp:lastPrinted>
  <dcterms:created xsi:type="dcterms:W3CDTF">2017-03-28T12:10:03Z</dcterms:created>
  <dcterms:modified xsi:type="dcterms:W3CDTF">2022-06-10T07:05:46Z</dcterms:modified>
</cp:coreProperties>
</file>